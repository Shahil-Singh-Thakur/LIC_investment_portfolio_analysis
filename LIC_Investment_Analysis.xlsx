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f49da946fdf9a33/Tài liệu/"/>
    </mc:Choice>
  </mc:AlternateContent>
  <xr:revisionPtr revIDLastSave="421" documentId="8_{0BF05A01-9DFE-4F08-A63F-B140CED1C222}" xr6:coauthVersionLast="47" xr6:coauthVersionMax="47" xr10:uidLastSave="{6EF53C7C-07EC-4F20-905F-8E60CFD346FF}"/>
  <bookViews>
    <workbookView xWindow="-108" yWindow="-108" windowWidth="23256" windowHeight="13176" tabRatio="755" xr2:uid="{00000000-000D-0000-FFFF-FFFF00000000}"/>
  </bookViews>
  <sheets>
    <sheet name="Charts" sheetId="4" r:id="rId1"/>
    <sheet name="Cleaned Data" sheetId="2" r:id="rId2"/>
    <sheet name="Analysis" sheetId="3" r:id="rId3"/>
    <sheet name="Insights" sheetId="5" r:id="rId4"/>
    <sheet name="Raw Data" sheetId="1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8" i="2" l="1"/>
  <c r="K12" i="2"/>
  <c r="K13" i="2"/>
  <c r="K14" i="2"/>
  <c r="K15" i="2"/>
  <c r="K18" i="2"/>
  <c r="K19" i="2"/>
  <c r="K20" i="2"/>
  <c r="K24" i="2"/>
  <c r="K29" i="2"/>
  <c r="K30" i="2"/>
  <c r="K31" i="2"/>
  <c r="K32" i="2"/>
  <c r="K33" i="2"/>
  <c r="I5" i="2"/>
  <c r="K5" i="2" s="1"/>
  <c r="J5" i="2"/>
  <c r="L5" i="2"/>
  <c r="I6" i="2"/>
  <c r="K6" i="2" s="1"/>
  <c r="L6" i="2"/>
  <c r="I7" i="2"/>
  <c r="K7" i="2" s="1"/>
  <c r="L7" i="2"/>
  <c r="I8" i="2"/>
  <c r="J8" i="2"/>
  <c r="L8" i="2"/>
  <c r="I9" i="2"/>
  <c r="K9" i="2" s="1"/>
  <c r="L9" i="2"/>
  <c r="I10" i="2"/>
  <c r="K10" i="2" s="1"/>
  <c r="J10" i="2"/>
  <c r="L10" i="2"/>
  <c r="I11" i="2"/>
  <c r="M11" i="2" s="1"/>
  <c r="J11" i="2"/>
  <c r="I12" i="2"/>
  <c r="L12" i="2"/>
  <c r="I13" i="2"/>
  <c r="L13" i="2"/>
  <c r="I14" i="2"/>
  <c r="J14" i="2"/>
  <c r="L14" i="2"/>
  <c r="I15" i="2"/>
  <c r="J15" i="2"/>
  <c r="L15" i="2"/>
  <c r="I16" i="2"/>
  <c r="K16" i="2" s="1"/>
  <c r="J16" i="2"/>
  <c r="L16" i="2"/>
  <c r="I17" i="2"/>
  <c r="L17" i="2" s="1"/>
  <c r="I18" i="2"/>
  <c r="L18" i="2"/>
  <c r="I19" i="2"/>
  <c r="J19" i="2"/>
  <c r="L19" i="2"/>
  <c r="I20" i="2"/>
  <c r="J20" i="2"/>
  <c r="L20" i="2"/>
  <c r="I21" i="2"/>
  <c r="K21" i="2" s="1"/>
  <c r="L21" i="2"/>
  <c r="I22" i="2"/>
  <c r="K22" i="2" s="1"/>
  <c r="J22" i="2"/>
  <c r="L22" i="2"/>
  <c r="I23" i="2"/>
  <c r="J23" i="2" s="1"/>
  <c r="I24" i="2"/>
  <c r="L24" i="2"/>
  <c r="I25" i="2"/>
  <c r="K25" i="2" s="1"/>
  <c r="L25" i="2"/>
  <c r="I26" i="2"/>
  <c r="K26" i="2" s="1"/>
  <c r="J26" i="2"/>
  <c r="L26" i="2"/>
  <c r="I27" i="2"/>
  <c r="M27" i="2" s="1"/>
  <c r="J27" i="2"/>
  <c r="L27" i="2"/>
  <c r="I28" i="2"/>
  <c r="J29" i="2" s="1"/>
  <c r="J28" i="2"/>
  <c r="L28" i="2"/>
  <c r="I29" i="2"/>
  <c r="L29" i="2" s="1"/>
  <c r="I30" i="2"/>
  <c r="J30" i="2"/>
  <c r="L30" i="2"/>
  <c r="I31" i="2"/>
  <c r="K5" i="3" s="1"/>
  <c r="J31" i="2"/>
  <c r="L31" i="2"/>
  <c r="I32" i="2"/>
  <c r="J32" i="2"/>
  <c r="L32" i="2"/>
  <c r="I33" i="2"/>
  <c r="K7" i="3" s="1"/>
  <c r="L33" i="2"/>
  <c r="K4" i="2"/>
  <c r="M15" i="2"/>
  <c r="M18" i="2"/>
  <c r="M19" i="2"/>
  <c r="I4" i="2"/>
  <c r="M4" i="2" s="1"/>
  <c r="K4" i="3"/>
  <c r="I3" i="2"/>
  <c r="K3" i="2" s="1"/>
  <c r="F6" i="3"/>
  <c r="E6" i="3"/>
  <c r="D4" i="3"/>
  <c r="C4" i="3"/>
  <c r="F5" i="3"/>
  <c r="F4" i="3"/>
  <c r="E3" i="3"/>
  <c r="F7" i="3"/>
  <c r="F3" i="3"/>
  <c r="E7" i="3"/>
  <c r="E5" i="3"/>
  <c r="E4" i="3"/>
  <c r="D7" i="3"/>
  <c r="D6" i="3"/>
  <c r="D5" i="3"/>
  <c r="D3" i="3"/>
  <c r="C7" i="3"/>
  <c r="C6" i="3"/>
  <c r="C5" i="3"/>
  <c r="C3" i="3"/>
  <c r="K17" i="2" l="1"/>
  <c r="J21" i="2"/>
  <c r="K27" i="2"/>
  <c r="J7" i="2"/>
  <c r="J17" i="2"/>
  <c r="J33" i="2"/>
  <c r="K28" i="2"/>
  <c r="J9" i="2"/>
  <c r="K6" i="3"/>
  <c r="J25" i="2"/>
  <c r="J18" i="2"/>
  <c r="J12" i="2"/>
  <c r="K23" i="2"/>
  <c r="K11" i="2"/>
  <c r="J24" i="2"/>
  <c r="L23" i="2"/>
  <c r="J13" i="2"/>
  <c r="J6" i="2"/>
  <c r="L11" i="2"/>
  <c r="E9" i="3"/>
  <c r="M29" i="2"/>
  <c r="M28" i="2"/>
  <c r="M30" i="2"/>
  <c r="M14" i="2"/>
  <c r="M13" i="2"/>
  <c r="M12" i="2"/>
  <c r="M10" i="2"/>
  <c r="M9" i="2"/>
  <c r="M24" i="2"/>
  <c r="L3" i="2"/>
  <c r="M7" i="2"/>
  <c r="M22" i="2"/>
  <c r="M21" i="2"/>
  <c r="M5" i="2"/>
  <c r="M20" i="2"/>
  <c r="M8" i="2"/>
  <c r="M6" i="2"/>
  <c r="M3" i="2"/>
  <c r="M33" i="2"/>
  <c r="M17" i="2"/>
  <c r="M26" i="2"/>
  <c r="M25" i="2"/>
  <c r="J4" i="2"/>
  <c r="M23" i="2"/>
  <c r="M32" i="2"/>
  <c r="M16" i="2"/>
  <c r="M31" i="2"/>
  <c r="D9" i="3"/>
  <c r="L4" i="2"/>
  <c r="C9" i="3"/>
  <c r="B4" i="3"/>
  <c r="K3" i="3"/>
  <c r="D8" i="3"/>
  <c r="F9" i="3"/>
  <c r="C8" i="3"/>
  <c r="E8" i="3"/>
  <c r="F8" i="3"/>
  <c r="B7" i="3"/>
  <c r="B5" i="3"/>
  <c r="B3" i="3"/>
  <c r="B6" i="3"/>
  <c r="I16" i="3" l="1"/>
  <c r="I18" i="3"/>
  <c r="I17" i="3"/>
  <c r="I12" i="3" s="1"/>
  <c r="B9" i="3"/>
  <c r="B8" i="3"/>
  <c r="N33" i="2" l="1"/>
  <c r="O33" i="2" s="1"/>
  <c r="N18" i="2"/>
  <c r="O18" i="2" s="1"/>
  <c r="N13" i="2"/>
  <c r="O13" i="2" s="1"/>
  <c r="N3" i="2"/>
  <c r="O3" i="2" s="1"/>
  <c r="N19" i="2"/>
  <c r="O19" i="2" s="1"/>
  <c r="N22" i="2"/>
  <c r="O22" i="2" s="1"/>
  <c r="N25" i="2"/>
  <c r="O25" i="2" s="1"/>
  <c r="N29" i="2"/>
  <c r="O29" i="2" s="1"/>
  <c r="N32" i="2"/>
  <c r="O32" i="2" s="1"/>
  <c r="N4" i="2"/>
  <c r="O4" i="2" s="1"/>
  <c r="N20" i="2"/>
  <c r="O20" i="2" s="1"/>
  <c r="N9" i="2"/>
  <c r="O9" i="2" s="1"/>
  <c r="N10" i="2"/>
  <c r="O10" i="2" s="1"/>
  <c r="N26" i="2"/>
  <c r="O26" i="2" s="1"/>
  <c r="N12" i="2"/>
  <c r="O12" i="2" s="1"/>
  <c r="N17" i="2"/>
  <c r="O17" i="2" s="1"/>
  <c r="N5" i="2"/>
  <c r="O5" i="2" s="1"/>
  <c r="N21" i="2"/>
  <c r="O21" i="2" s="1"/>
  <c r="N6" i="2"/>
  <c r="O6" i="2" s="1"/>
  <c r="N11" i="2"/>
  <c r="O11" i="2" s="1"/>
  <c r="N27" i="2"/>
  <c r="O27" i="2" s="1"/>
  <c r="N28" i="2"/>
  <c r="O28" i="2" s="1"/>
  <c r="N14" i="2"/>
  <c r="O14" i="2" s="1"/>
  <c r="N15" i="2"/>
  <c r="O15" i="2" s="1"/>
  <c r="N31" i="2"/>
  <c r="O31" i="2" s="1"/>
  <c r="N7" i="2"/>
  <c r="O7" i="2" s="1"/>
  <c r="N23" i="2"/>
  <c r="O23" i="2" s="1"/>
  <c r="N8" i="2"/>
  <c r="O8" i="2" s="1"/>
  <c r="N24" i="2"/>
  <c r="O24" i="2" s="1"/>
  <c r="N30" i="2"/>
  <c r="O30" i="2" s="1"/>
  <c r="N16" i="2"/>
  <c r="O16" i="2" s="1"/>
</calcChain>
</file>

<file path=xl/sharedStrings.xml><?xml version="1.0" encoding="utf-8"?>
<sst xmlns="http://schemas.openxmlformats.org/spreadsheetml/2006/main" count="119" uniqueCount="107">
  <si>
    <t>TABLE 70 : INVESTMENTS BY LIC OF INDIA (₹ Crore)</t>
  </si>
  <si>
    <t>Source: Life Insurance Corporation of India | RBI HSIE Database</t>
  </si>
  <si>
    <t>Year (end-March)</t>
  </si>
  <si>
    <t>Public Sector</t>
  </si>
  <si>
    <t>Private Sector</t>
  </si>
  <si>
    <t>Joint Sector</t>
  </si>
  <si>
    <t>Co-operative</t>
  </si>
  <si>
    <t>Stock Exchange</t>
  </si>
  <si>
    <t>Loans</t>
  </si>
  <si>
    <t>Total (₹ Crore)</t>
  </si>
  <si>
    <t>YoY Growth (%)</t>
  </si>
  <si>
    <t>—</t>
  </si>
  <si>
    <t>CLEANED DATASET — LIC INVESTMENTS (₹ Crore)</t>
  </si>
  <si>
    <t>Year</t>
  </si>
  <si>
    <t>Public</t>
  </si>
  <si>
    <t>Private</t>
  </si>
  <si>
    <t>Joint</t>
  </si>
  <si>
    <t>Stock Exch.</t>
  </si>
  <si>
    <t>Total</t>
  </si>
  <si>
    <t>YoY Growth %</t>
  </si>
  <si>
    <t>Public Share %</t>
  </si>
  <si>
    <t>Private Share %</t>
  </si>
  <si>
    <t>A. SUMMARY STATISTICS (₹ Crore, 1994–2024)</t>
  </si>
  <si>
    <t>Metric</t>
  </si>
  <si>
    <t>Total Investments</t>
  </si>
  <si>
    <t>Mean</t>
  </si>
  <si>
    <t>Median</t>
  </si>
  <si>
    <t>Std Dev</t>
  </si>
  <si>
    <t>Minimum</t>
  </si>
  <si>
    <t>Maximum</t>
  </si>
  <si>
    <t>Range</t>
  </si>
  <si>
    <t>Coeff Var %</t>
  </si>
  <si>
    <t>B. KEY PERFORMANCE INDICATORS (KPIs)</t>
  </si>
  <si>
    <t>KPI</t>
  </si>
  <si>
    <t>Value</t>
  </si>
  <si>
    <t>Unit</t>
  </si>
  <si>
    <t>Total Portfolio Size (2024)</t>
  </si>
  <si>
    <t>42.81 Lakh Cr</t>
  </si>
  <si>
    <t>₹ Lakh Crore</t>
  </si>
  <si>
    <t>Overall Growth (1994–2024)</t>
  </si>
  <si>
    <t>9593.8%</t>
  </si>
  <si>
    <t>%</t>
  </si>
  <si>
    <t>CAGR (1994–2024)</t>
  </si>
  <si>
    <t>16.47%</t>
  </si>
  <si>
    <t>% p.a.</t>
  </si>
  <si>
    <t>Avg. Annual YoY Growth</t>
  </si>
  <si>
    <t>16.61%</t>
  </si>
  <si>
    <t>Peak Growth Year (2004)</t>
  </si>
  <si>
    <t>29.8%</t>
  </si>
  <si>
    <t>Public Sector Share (2024)</t>
  </si>
  <si>
    <t>81.1%</t>
  </si>
  <si>
    <t>Private Sector Share (2024)</t>
  </si>
  <si>
    <t>18.9%</t>
  </si>
  <si>
    <t>Loans Portfolio Change</t>
  </si>
  <si>
    <t>-22.7%</t>
  </si>
  <si>
    <t>C. SECTOR COMPOSITION — LAST 5 YEARS</t>
  </si>
  <si>
    <t>Public %</t>
  </si>
  <si>
    <t>Private %</t>
  </si>
  <si>
    <t>Joint %</t>
  </si>
  <si>
    <t>Co-op %</t>
  </si>
  <si>
    <t>LIC INVESTMENT ANALYSIS — CHARTS &amp; VISUALIZATIONS</t>
  </si>
  <si>
    <t>Year Index</t>
  </si>
  <si>
    <t>R^2</t>
  </si>
  <si>
    <t>Slope(b)</t>
  </si>
  <si>
    <t>Intercept(a)</t>
  </si>
  <si>
    <t>Enter the year:</t>
  </si>
  <si>
    <t>Result:</t>
  </si>
  <si>
    <t>Natural log(Investment)</t>
  </si>
  <si>
    <t>Model Estimate</t>
  </si>
  <si>
    <t>% Error</t>
  </si>
  <si>
    <t>Category</t>
  </si>
  <si>
    <t>Insight</t>
  </si>
  <si>
    <t>Portfolio Size</t>
  </si>
  <si>
    <t>LIC's total investment portfolio reached ₹42.81 lakh crore by 2024, reflecting its dominant position in India's financial ecosystem.</t>
  </si>
  <si>
    <t>Overall Growth</t>
  </si>
  <si>
    <t>The total portfolio expanded by approximately 9593.8% over 30 years, indicating nearly 96x growth since 1994.</t>
  </si>
  <si>
    <t>CAGR</t>
  </si>
  <si>
    <t>The compound annual growth rate (CAGR) of 16.47% highlights strong long-term compounding in LIC’s investment portfolio.</t>
  </si>
  <si>
    <t>Average Growth</t>
  </si>
  <si>
    <t>The average annual year-on-year growth rate of 16.61% aligns closely with CAGR, reinforcing consistent long-term expansion.</t>
  </si>
  <si>
    <t>Peak Growth</t>
  </si>
  <si>
    <t>The highest annual growth of 29.8% occurred in 2004, indicating a period of aggressive expansion.</t>
  </si>
  <si>
    <t>Sector Allocation</t>
  </si>
  <si>
    <t>As of 2024, 81.1% of LIC’s investments are in the public sector, highlighting a strong bias toward government securities.</t>
  </si>
  <si>
    <t>Private Exposure</t>
  </si>
  <si>
    <t>Private sector investments account for 18.9%, indicating limited but strategic diversification.</t>
  </si>
  <si>
    <t>Loans Trend</t>
  </si>
  <si>
    <t>The loans portfolio declined by 22.7%, suggesting a shift away from lending toward market-based investments.</t>
  </si>
  <si>
    <t>Model Fit</t>
  </si>
  <si>
    <t>The log-linear regression model achieved an R² of 0.9816, indicating a strong ability to capture the overall exponential growth trend.</t>
  </si>
  <si>
    <t>Model Interpretation</t>
  </si>
  <si>
    <t>The model successfully estimates the long-term growth rate, with an implied CAGR close to the actual observed CAGR.</t>
  </si>
  <si>
    <t>Residual Insight</t>
  </si>
  <si>
    <t>Residual analysis shows some systematic variation, reflecting that real-world growth does not follow a perfectly smooth exponential path.</t>
  </si>
  <si>
    <t>Growth Assumption</t>
  </si>
  <si>
    <t>The model assumes a constant growth rate, which is a reasonable approximation for long-term analysis but may not capture short-term variations.</t>
  </si>
  <si>
    <t>Growth Shift</t>
  </si>
  <si>
    <t>A structural shift is observed, with early growth rates around 16–17% moderating to approximately 11–12% in recent years.</t>
  </si>
  <si>
    <t>Recent Trend</t>
  </si>
  <si>
    <t>The moderation in recent growth suggests that LIC may be entering a more mature phase with relatively stable expansion.</t>
  </si>
  <si>
    <t>Forecast Implication</t>
  </si>
  <si>
    <t>While the model is reliable for capturing long-term trends, forecasts based solely on historical high growth may slightly overestimate future values.</t>
  </si>
  <si>
    <t>Analytical Conclusion</t>
  </si>
  <si>
    <t>Overall, the model provides a strong representation of LIC’s long-term growth trajectory, while also highlighting a gradual transition from high growth to a more moderate growth phase.</t>
  </si>
  <si>
    <t>D. FORECASTED INVESTMENT( Crore)</t>
  </si>
  <si>
    <t>E. Values required for regression</t>
  </si>
  <si>
    <t>DETAILED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</si>
</sst>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&quot;₹&quot;\ #,##0.0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Cambria"/>
      <family val="1"/>
    </font>
    <font>
      <i/>
      <sz val="10"/>
      <color rgb="FF555555"/>
      <name val="Cambria"/>
      <family val="1"/>
    </font>
    <font>
      <b/>
      <sz val="10"/>
      <color rgb="FFFFFFFF"/>
      <name val="Cambria"/>
      <family val="1"/>
    </font>
    <font>
      <b/>
      <sz val="12"/>
      <color rgb="FFFFFFFF"/>
      <name val="Cambria"/>
      <family val="1"/>
    </font>
    <font>
      <b/>
      <sz val="10"/>
      <name val="Cambria"/>
      <family val="1"/>
    </font>
    <font>
      <b/>
      <sz val="11"/>
      <color rgb="FF1F3864"/>
      <name val="Cambria"/>
      <family val="1"/>
    </font>
    <font>
      <b/>
      <sz val="14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1"/>
      <color theme="0"/>
      <name val="Calibri"/>
      <family val="2"/>
      <charset val="1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color theme="0"/>
      <name val="Cambria"/>
      <family val="1"/>
    </font>
    <font>
      <b/>
      <sz val="12"/>
      <color theme="0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1"/>
      <color rgb="FF000000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rgb="FF33339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3" fontId="0" fillId="0" borderId="0" xfId="0" applyNumberFormat="1"/>
    <xf numFmtId="0" fontId="8" fillId="7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2" fontId="0" fillId="5" borderId="2" xfId="0" applyNumberFormat="1" applyFill="1" applyBorder="1" applyAlignment="1">
      <alignment horizontal="right"/>
    </xf>
    <xf numFmtId="0" fontId="12" fillId="0" borderId="0" xfId="0" applyFont="1"/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3" borderId="5" xfId="0" applyFont="1" applyFill="1" applyBorder="1" applyAlignment="1">
      <alignment horizontal="center" wrapText="1"/>
    </xf>
    <xf numFmtId="165" fontId="0" fillId="6" borderId="2" xfId="0" applyNumberFormat="1" applyFill="1" applyBorder="1" applyAlignment="1">
      <alignment horizontal="right"/>
    </xf>
    <xf numFmtId="165" fontId="0" fillId="5" borderId="2" xfId="0" applyNumberForma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165" fontId="11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left" indent="1"/>
    </xf>
    <xf numFmtId="0" fontId="5" fillId="5" borderId="2" xfId="0" applyFont="1" applyFill="1" applyBorder="1" applyAlignment="1">
      <alignment horizontal="left" indent="1"/>
    </xf>
    <xf numFmtId="2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/>
    <xf numFmtId="0" fontId="4" fillId="0" borderId="0" xfId="0" applyFont="1" applyAlignment="1">
      <alignment vertical="center"/>
    </xf>
    <xf numFmtId="0" fontId="15" fillId="0" borderId="2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5" fillId="9" borderId="2" xfId="0" applyFont="1" applyFill="1" applyBorder="1"/>
    <xf numFmtId="0" fontId="10" fillId="9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7" fillId="0" borderId="2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indent="1"/>
    </xf>
    <xf numFmtId="0" fontId="0" fillId="11" borderId="0" xfId="0" applyFill="1"/>
    <xf numFmtId="0" fontId="1" fillId="11" borderId="0" xfId="0" applyFont="1" applyFill="1" applyAlignment="1">
      <alignment horizontal="center" vertical="center"/>
    </xf>
    <xf numFmtId="165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12" borderId="2" xfId="0" applyNumberFormat="1" applyFill="1" applyBorder="1" applyAlignment="1">
      <alignment horizontal="right"/>
    </xf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4" fillId="2" borderId="6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10" fillId="0" borderId="2" xfId="0" applyNumberFormat="1" applyFont="1" applyBorder="1"/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29"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</font>
      <numFmt numFmtId="165" formatCode="&quot;₹&quot;\ 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mbria"/>
        <family val="1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rgb="FFF9F9F9"/>
          <bgColor rgb="FFFFFFFF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₹&quot;\ #,##0.00"/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9D9D9"/>
          <bgColor rgb="FFD6E4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rgb="FFAAAAAA"/>
        </right>
      </border>
    </dxf>
    <dxf>
      <fill>
        <patternFill patternType="solid">
          <fgColor rgb="FFD9D9D9"/>
          <bgColor rgb="FFD6E4F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mbria"/>
        <family val="1"/>
        <scheme val="none"/>
      </font>
      <fill>
        <patternFill patternType="solid">
          <fgColor rgb="FF4F81BD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C9A84C"/>
      <rgbColor rgb="FFFF6600"/>
      <rgbColor rgb="FF4F81BD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1: LIC Total Investments (1994–2024)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'Cleaned Data'!$I$2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'Cleaned Data'!$B$3:$B$33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'Cleaned Data'!$I$3:$I$33</c:f>
              <c:numCache>
                <c:formatCode>"₹"\ #,##0.00</c:formatCode>
                <c:ptCount val="31"/>
                <c:pt idx="0">
                  <c:v>44162</c:v>
                </c:pt>
                <c:pt idx="1">
                  <c:v>53479</c:v>
                </c:pt>
                <c:pt idx="2">
                  <c:v>65056</c:v>
                </c:pt>
                <c:pt idx="3">
                  <c:v>77938</c:v>
                </c:pt>
                <c:pt idx="4">
                  <c:v>93600</c:v>
                </c:pt>
                <c:pt idx="5">
                  <c:v>114103</c:v>
                </c:pt>
                <c:pt idx="6">
                  <c:v>139032</c:v>
                </c:pt>
                <c:pt idx="7">
                  <c:v>167004</c:v>
                </c:pt>
                <c:pt idx="8">
                  <c:v>207204</c:v>
                </c:pt>
                <c:pt idx="9">
                  <c:v>251771</c:v>
                </c:pt>
                <c:pt idx="10">
                  <c:v>326743</c:v>
                </c:pt>
                <c:pt idx="11">
                  <c:v>393185</c:v>
                </c:pt>
                <c:pt idx="12">
                  <c:v>487226</c:v>
                </c:pt>
                <c:pt idx="13">
                  <c:v>521734</c:v>
                </c:pt>
                <c:pt idx="14">
                  <c:v>635748</c:v>
                </c:pt>
                <c:pt idx="15">
                  <c:v>762892</c:v>
                </c:pt>
                <c:pt idx="16">
                  <c:v>918247</c:v>
                </c:pt>
                <c:pt idx="17">
                  <c:v>1070276</c:v>
                </c:pt>
                <c:pt idx="18">
                  <c:v>1203817</c:v>
                </c:pt>
                <c:pt idx="19">
                  <c:v>1348997</c:v>
                </c:pt>
                <c:pt idx="20">
                  <c:v>1511133</c:v>
                </c:pt>
                <c:pt idx="21">
                  <c:v>1708489</c:v>
                </c:pt>
                <c:pt idx="22">
                  <c:v>1925949</c:v>
                </c:pt>
                <c:pt idx="23">
                  <c:v>2184178</c:v>
                </c:pt>
                <c:pt idx="24">
                  <c:v>2442674</c:v>
                </c:pt>
                <c:pt idx="25">
                  <c:v>2661564</c:v>
                </c:pt>
                <c:pt idx="26">
                  <c:v>2957163</c:v>
                </c:pt>
                <c:pt idx="27">
                  <c:v>3277610</c:v>
                </c:pt>
                <c:pt idx="28">
                  <c:v>3555536</c:v>
                </c:pt>
                <c:pt idx="29">
                  <c:v>3911819</c:v>
                </c:pt>
                <c:pt idx="30">
                  <c:v>4280987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CF-4F9E-BA44-25D10B91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55948785"/>
        <c:axId val="80350071"/>
      </c:lineChart>
      <c:catAx>
        <c:axId val="5594878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0071"/>
        <c:crosses val="autoZero"/>
        <c:auto val="1"/>
        <c:lblAlgn val="ctr"/>
        <c:lblOffset val="100"/>
        <c:noMultiLvlLbl val="0"/>
      </c:catAx>
      <c:valAx>
        <c:axId val="80350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87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2: Public vs Private Sector 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Data'!$C$2</c:f>
              <c:strCache>
                <c:ptCount val="1"/>
                <c:pt idx="0">
                  <c:v>Public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'Cleaned Data'!$B$3:$B$33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'Cleaned Data'!$C$3:$C$33</c:f>
              <c:numCache>
                <c:formatCode>"₹"\ #,##0.00</c:formatCode>
                <c:ptCount val="31"/>
                <c:pt idx="0">
                  <c:v>36247</c:v>
                </c:pt>
                <c:pt idx="1">
                  <c:v>44319</c:v>
                </c:pt>
                <c:pt idx="2">
                  <c:v>54003</c:v>
                </c:pt>
                <c:pt idx="3">
                  <c:v>65917</c:v>
                </c:pt>
                <c:pt idx="4">
                  <c:v>79236</c:v>
                </c:pt>
                <c:pt idx="5">
                  <c:v>96411</c:v>
                </c:pt>
                <c:pt idx="6">
                  <c:v>117059</c:v>
                </c:pt>
                <c:pt idx="7">
                  <c:v>141256</c:v>
                </c:pt>
                <c:pt idx="8">
                  <c:v>180574</c:v>
                </c:pt>
                <c:pt idx="9">
                  <c:v>219597</c:v>
                </c:pt>
                <c:pt idx="10">
                  <c:v>271779</c:v>
                </c:pt>
                <c:pt idx="11">
                  <c:v>322022</c:v>
                </c:pt>
                <c:pt idx="12">
                  <c:v>378807</c:v>
                </c:pt>
                <c:pt idx="13">
                  <c:v>433810</c:v>
                </c:pt>
                <c:pt idx="14">
                  <c:v>503388</c:v>
                </c:pt>
                <c:pt idx="15">
                  <c:v>572050</c:v>
                </c:pt>
                <c:pt idx="16">
                  <c:v>678374</c:v>
                </c:pt>
                <c:pt idx="17">
                  <c:v>799009</c:v>
                </c:pt>
                <c:pt idx="18">
                  <c:v>899655</c:v>
                </c:pt>
                <c:pt idx="19">
                  <c:v>1018781</c:v>
                </c:pt>
                <c:pt idx="20">
                  <c:v>1194261</c:v>
                </c:pt>
                <c:pt idx="21">
                  <c:v>1369713</c:v>
                </c:pt>
                <c:pt idx="22">
                  <c:v>1578842</c:v>
                </c:pt>
                <c:pt idx="23">
                  <c:v>1797369</c:v>
                </c:pt>
                <c:pt idx="24">
                  <c:v>2046432</c:v>
                </c:pt>
                <c:pt idx="25">
                  <c:v>2264149</c:v>
                </c:pt>
                <c:pt idx="26">
                  <c:v>2504578</c:v>
                </c:pt>
                <c:pt idx="27">
                  <c:v>2769651</c:v>
                </c:pt>
                <c:pt idx="28">
                  <c:v>2932198</c:v>
                </c:pt>
                <c:pt idx="29">
                  <c:v>3199417</c:v>
                </c:pt>
                <c:pt idx="30">
                  <c:v>3473042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8-4C1F-99F3-91F4C6DBA4F2}"/>
            </c:ext>
          </c:extLst>
        </c:ser>
        <c:ser>
          <c:idx val="1"/>
          <c:order val="1"/>
          <c:tx>
            <c:strRef>
              <c:f>'Cleaned Data'!$D$2</c:f>
              <c:strCache>
                <c:ptCount val="1"/>
                <c:pt idx="0">
                  <c:v>Private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'Cleaned Data'!$B$3:$B$33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'Cleaned Data'!$D$3:$D$33</c:f>
              <c:numCache>
                <c:formatCode>"₹"\ #,##0.00</c:formatCode>
                <c:ptCount val="31"/>
                <c:pt idx="0">
                  <c:v>5894</c:v>
                </c:pt>
                <c:pt idx="1">
                  <c:v>7017</c:v>
                </c:pt>
                <c:pt idx="2">
                  <c:v>8814</c:v>
                </c:pt>
                <c:pt idx="3">
                  <c:v>9589</c:v>
                </c:pt>
                <c:pt idx="4">
                  <c:v>11834</c:v>
                </c:pt>
                <c:pt idx="5">
                  <c:v>15048</c:v>
                </c:pt>
                <c:pt idx="6">
                  <c:v>19268</c:v>
                </c:pt>
                <c:pt idx="7">
                  <c:v>22780</c:v>
                </c:pt>
                <c:pt idx="8">
                  <c:v>23708</c:v>
                </c:pt>
                <c:pt idx="9">
                  <c:v>29407</c:v>
                </c:pt>
                <c:pt idx="10">
                  <c:v>51924</c:v>
                </c:pt>
                <c:pt idx="11">
                  <c:v>68485</c:v>
                </c:pt>
                <c:pt idx="12">
                  <c:v>105148</c:v>
                </c:pt>
                <c:pt idx="13">
                  <c:v>84294</c:v>
                </c:pt>
                <c:pt idx="14">
                  <c:v>128468</c:v>
                </c:pt>
                <c:pt idx="15">
                  <c:v>187141</c:v>
                </c:pt>
                <c:pt idx="16">
                  <c:v>236135</c:v>
                </c:pt>
                <c:pt idx="17">
                  <c:v>267518</c:v>
                </c:pt>
                <c:pt idx="18">
                  <c:v>300510</c:v>
                </c:pt>
                <c:pt idx="19">
                  <c:v>329308</c:v>
                </c:pt>
                <c:pt idx="20">
                  <c:v>316024</c:v>
                </c:pt>
                <c:pt idx="21">
                  <c:v>337997</c:v>
                </c:pt>
                <c:pt idx="22">
                  <c:v>345852</c:v>
                </c:pt>
                <c:pt idx="23">
                  <c:v>385729</c:v>
                </c:pt>
                <c:pt idx="24">
                  <c:v>395296</c:v>
                </c:pt>
                <c:pt idx="25">
                  <c:v>396317</c:v>
                </c:pt>
                <c:pt idx="26">
                  <c:v>451787</c:v>
                </c:pt>
                <c:pt idx="27">
                  <c:v>507172</c:v>
                </c:pt>
                <c:pt idx="28">
                  <c:v>622689</c:v>
                </c:pt>
                <c:pt idx="29">
                  <c:v>711903</c:v>
                </c:pt>
                <c:pt idx="30">
                  <c:v>807476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8-4C1F-99F3-91F4C6DBA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499018"/>
        <c:axId val="16788900"/>
      </c:barChart>
      <c:catAx>
        <c:axId val="3549901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8900"/>
        <c:crosses val="autoZero"/>
        <c:auto val="1"/>
        <c:lblAlgn val="ctr"/>
        <c:lblOffset val="100"/>
        <c:noMultiLvlLbl val="0"/>
      </c:catAx>
      <c:valAx>
        <c:axId val="167889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990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3: Year-on-Year Growth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'Cleaned Data'!$J$2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'Cleaned Data'!$B$3:$B$33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'Cleaned Data'!$J$3:$J$33</c:f>
              <c:numCache>
                <c:formatCode>0.00</c:formatCode>
                <c:ptCount val="31"/>
                <c:pt idx="1">
                  <c:v>21.097323490783932</c:v>
                </c:pt>
                <c:pt idx="2">
                  <c:v>21.647749583948837</c:v>
                </c:pt>
                <c:pt idx="3">
                  <c:v>19.801401869158877</c:v>
                </c:pt>
                <c:pt idx="4">
                  <c:v>20.09546049423901</c:v>
                </c:pt>
                <c:pt idx="5">
                  <c:v>21.904914529914528</c:v>
                </c:pt>
                <c:pt idx="6">
                  <c:v>21.847804176927863</c:v>
                </c:pt>
                <c:pt idx="7">
                  <c:v>20.119109269808387</c:v>
                </c:pt>
                <c:pt idx="8">
                  <c:v>24.071279729826831</c:v>
                </c:pt>
                <c:pt idx="9">
                  <c:v>21.508754657245998</c:v>
                </c:pt>
                <c:pt idx="10">
                  <c:v>29.777853684499011</c:v>
                </c:pt>
                <c:pt idx="11">
                  <c:v>20.334636090138119</c:v>
                </c:pt>
                <c:pt idx="12">
                  <c:v>23.917748642496534</c:v>
                </c:pt>
                <c:pt idx="13">
                  <c:v>7.0825448559805926</c:v>
                </c:pt>
                <c:pt idx="14">
                  <c:v>21.85289822016583</c:v>
                </c:pt>
                <c:pt idx="15">
                  <c:v>19.999119147838449</c:v>
                </c:pt>
                <c:pt idx="16">
                  <c:v>20.363957152519625</c:v>
                </c:pt>
                <c:pt idx="17">
                  <c:v>16.556438518176481</c:v>
                </c:pt>
                <c:pt idx="18">
                  <c:v>12.477248859172773</c:v>
                </c:pt>
                <c:pt idx="19">
                  <c:v>12.05997257058174</c:v>
                </c:pt>
                <c:pt idx="20">
                  <c:v>12.01900374871108</c:v>
                </c:pt>
                <c:pt idx="21">
                  <c:v>13.060134349524496</c:v>
                </c:pt>
                <c:pt idx="22">
                  <c:v>12.728206034689132</c:v>
                </c:pt>
                <c:pt idx="23">
                  <c:v>13.407883594010016</c:v>
                </c:pt>
                <c:pt idx="24">
                  <c:v>11.834932867193059</c:v>
                </c:pt>
                <c:pt idx="25">
                  <c:v>8.9610811757934137</c:v>
                </c:pt>
                <c:pt idx="26">
                  <c:v>11.106214240950058</c:v>
                </c:pt>
                <c:pt idx="27">
                  <c:v>10.836298168210545</c:v>
                </c:pt>
                <c:pt idx="28">
                  <c:v>8.4795323421639548</c:v>
                </c:pt>
                <c:pt idx="29">
                  <c:v>10.020514487829683</c:v>
                </c:pt>
                <c:pt idx="30">
                  <c:v>9.437246457466463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76-4927-9FA3-A6A58AD82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60473816"/>
        <c:axId val="83656275"/>
      </c:lineChart>
      <c:catAx>
        <c:axId val="60473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6275"/>
        <c:crosses val="autoZero"/>
        <c:auto val="1"/>
        <c:lblAlgn val="ctr"/>
        <c:lblOffset val="100"/>
        <c:noMultiLvlLbl val="0"/>
      </c:catAx>
      <c:valAx>
        <c:axId val="836562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Chart 4: Instrument-wise — Stock Exchange vs Loans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Data'!$G$2</c:f>
              <c:strCache>
                <c:ptCount val="1"/>
                <c:pt idx="0">
                  <c:v>Stock Exch.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'Cleaned Data'!$B$3:$B$33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'Cleaned Data'!$G$3:$G$33</c:f>
              <c:numCache>
                <c:formatCode>"₹"\ #,##0.00</c:formatCode>
                <c:ptCount val="31"/>
                <c:pt idx="0">
                  <c:v>29536</c:v>
                </c:pt>
                <c:pt idx="1">
                  <c:v>37420</c:v>
                </c:pt>
                <c:pt idx="2">
                  <c:v>47086</c:v>
                </c:pt>
                <c:pt idx="3">
                  <c:v>58851</c:v>
                </c:pt>
                <c:pt idx="4">
                  <c:v>72537</c:v>
                </c:pt>
                <c:pt idx="5">
                  <c:v>90824</c:v>
                </c:pt>
                <c:pt idx="6">
                  <c:v>114032</c:v>
                </c:pt>
                <c:pt idx="7">
                  <c:v>140106</c:v>
                </c:pt>
                <c:pt idx="8">
                  <c:v>178943</c:v>
                </c:pt>
                <c:pt idx="9">
                  <c:v>222449</c:v>
                </c:pt>
                <c:pt idx="10">
                  <c:v>297566</c:v>
                </c:pt>
                <c:pt idx="11">
                  <c:v>355635</c:v>
                </c:pt>
                <c:pt idx="12">
                  <c:v>450097</c:v>
                </c:pt>
                <c:pt idx="13">
                  <c:v>480427</c:v>
                </c:pt>
                <c:pt idx="14">
                  <c:v>590467</c:v>
                </c:pt>
                <c:pt idx="15">
                  <c:v>715710</c:v>
                </c:pt>
                <c:pt idx="16">
                  <c:v>872388</c:v>
                </c:pt>
                <c:pt idx="17">
                  <c:v>1026492</c:v>
                </c:pt>
                <c:pt idx="18">
                  <c:v>1162388</c:v>
                </c:pt>
                <c:pt idx="19">
                  <c:v>1307333</c:v>
                </c:pt>
                <c:pt idx="20">
                  <c:v>1468886</c:v>
                </c:pt>
                <c:pt idx="21">
                  <c:v>1668047</c:v>
                </c:pt>
                <c:pt idx="22">
                  <c:v>1891161</c:v>
                </c:pt>
                <c:pt idx="23">
                  <c:v>2152592</c:v>
                </c:pt>
                <c:pt idx="24">
                  <c:v>2415496</c:v>
                </c:pt>
                <c:pt idx="25">
                  <c:v>2636655</c:v>
                </c:pt>
                <c:pt idx="26">
                  <c:v>2936030</c:v>
                </c:pt>
                <c:pt idx="27">
                  <c:v>3258567</c:v>
                </c:pt>
                <c:pt idx="28">
                  <c:v>3539141</c:v>
                </c:pt>
                <c:pt idx="29">
                  <c:v>3898997</c:v>
                </c:pt>
                <c:pt idx="30">
                  <c:v>4271037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5-48CA-B727-4078F829338A}"/>
            </c:ext>
          </c:extLst>
        </c:ser>
        <c:ser>
          <c:idx val="1"/>
          <c:order val="1"/>
          <c:tx>
            <c:strRef>
              <c:f>'Cleaned Data'!$H$2</c:f>
              <c:strCache>
                <c:ptCount val="1"/>
                <c:pt idx="0">
                  <c:v>Loans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'Cleaned Data'!$B$3:$B$33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'Cleaned Data'!$H$3:$H$33</c:f>
              <c:numCache>
                <c:formatCode>"₹"\ #,##0.00</c:formatCode>
                <c:ptCount val="31"/>
                <c:pt idx="0">
                  <c:v>12876</c:v>
                </c:pt>
                <c:pt idx="1">
                  <c:v>14169</c:v>
                </c:pt>
                <c:pt idx="2">
                  <c:v>18086</c:v>
                </c:pt>
                <c:pt idx="3">
                  <c:v>16751</c:v>
                </c:pt>
                <c:pt idx="4">
                  <c:v>18490</c:v>
                </c:pt>
                <c:pt idx="5">
                  <c:v>26110</c:v>
                </c:pt>
                <c:pt idx="6">
                  <c:v>28926</c:v>
                </c:pt>
                <c:pt idx="7">
                  <c:v>32155</c:v>
                </c:pt>
                <c:pt idx="8">
                  <c:v>34913</c:v>
                </c:pt>
                <c:pt idx="9">
                  <c:v>27540</c:v>
                </c:pt>
                <c:pt idx="10">
                  <c:v>31800</c:v>
                </c:pt>
                <c:pt idx="11">
                  <c:v>37530</c:v>
                </c:pt>
                <c:pt idx="12">
                  <c:v>37135</c:v>
                </c:pt>
                <c:pt idx="13">
                  <c:v>41308</c:v>
                </c:pt>
                <c:pt idx="14">
                  <c:v>45281</c:v>
                </c:pt>
                <c:pt idx="15">
                  <c:v>47181</c:v>
                </c:pt>
                <c:pt idx="16">
                  <c:v>45855</c:v>
                </c:pt>
                <c:pt idx="17">
                  <c:v>43784</c:v>
                </c:pt>
                <c:pt idx="18">
                  <c:v>41430</c:v>
                </c:pt>
                <c:pt idx="19">
                  <c:v>41664</c:v>
                </c:pt>
                <c:pt idx="20">
                  <c:v>42247</c:v>
                </c:pt>
                <c:pt idx="21">
                  <c:v>40442</c:v>
                </c:pt>
                <c:pt idx="22">
                  <c:v>34788</c:v>
                </c:pt>
                <c:pt idx="23">
                  <c:v>31586</c:v>
                </c:pt>
                <c:pt idx="24">
                  <c:v>27178</c:v>
                </c:pt>
                <c:pt idx="25">
                  <c:v>24909</c:v>
                </c:pt>
                <c:pt idx="26">
                  <c:v>21134</c:v>
                </c:pt>
                <c:pt idx="27">
                  <c:v>19043</c:v>
                </c:pt>
                <c:pt idx="28">
                  <c:v>16395</c:v>
                </c:pt>
                <c:pt idx="29">
                  <c:v>12822</c:v>
                </c:pt>
                <c:pt idx="30">
                  <c:v>9950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5-48CA-B727-4078F829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0950"/>
        <c:axId val="70955692"/>
      </c:barChart>
      <c:catAx>
        <c:axId val="2270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955692"/>
        <c:crosses val="autoZero"/>
        <c:auto val="1"/>
        <c:lblAlgn val="ctr"/>
        <c:lblOffset val="100"/>
        <c:noMultiLvlLbl val="0"/>
      </c:catAx>
      <c:valAx>
        <c:axId val="70955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&quot;\ 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0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Estimate VS Actual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Data'!$I$2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val>
            <c:numRef>
              <c:f>'Cleaned Data'!$I$3:$I$33</c:f>
              <c:numCache>
                <c:formatCode>"₹"\ #,##0.00</c:formatCode>
                <c:ptCount val="31"/>
                <c:pt idx="0">
                  <c:v>44162</c:v>
                </c:pt>
                <c:pt idx="1">
                  <c:v>53479</c:v>
                </c:pt>
                <c:pt idx="2">
                  <c:v>65056</c:v>
                </c:pt>
                <c:pt idx="3">
                  <c:v>77938</c:v>
                </c:pt>
                <c:pt idx="4">
                  <c:v>93600</c:v>
                </c:pt>
                <c:pt idx="5">
                  <c:v>114103</c:v>
                </c:pt>
                <c:pt idx="6">
                  <c:v>139032</c:v>
                </c:pt>
                <c:pt idx="7">
                  <c:v>167004</c:v>
                </c:pt>
                <c:pt idx="8">
                  <c:v>207204</c:v>
                </c:pt>
                <c:pt idx="9">
                  <c:v>251771</c:v>
                </c:pt>
                <c:pt idx="10">
                  <c:v>326743</c:v>
                </c:pt>
                <c:pt idx="11">
                  <c:v>393185</c:v>
                </c:pt>
                <c:pt idx="12">
                  <c:v>487226</c:v>
                </c:pt>
                <c:pt idx="13">
                  <c:v>521734</c:v>
                </c:pt>
                <c:pt idx="14">
                  <c:v>635748</c:v>
                </c:pt>
                <c:pt idx="15">
                  <c:v>762892</c:v>
                </c:pt>
                <c:pt idx="16">
                  <c:v>918247</c:v>
                </c:pt>
                <c:pt idx="17">
                  <c:v>1070276</c:v>
                </c:pt>
                <c:pt idx="18">
                  <c:v>1203817</c:v>
                </c:pt>
                <c:pt idx="19">
                  <c:v>1348997</c:v>
                </c:pt>
                <c:pt idx="20">
                  <c:v>1511133</c:v>
                </c:pt>
                <c:pt idx="21">
                  <c:v>1708489</c:v>
                </c:pt>
                <c:pt idx="22">
                  <c:v>1925949</c:v>
                </c:pt>
                <c:pt idx="23">
                  <c:v>2184178</c:v>
                </c:pt>
                <c:pt idx="24">
                  <c:v>2442674</c:v>
                </c:pt>
                <c:pt idx="25">
                  <c:v>2661564</c:v>
                </c:pt>
                <c:pt idx="26">
                  <c:v>2957163</c:v>
                </c:pt>
                <c:pt idx="27">
                  <c:v>3277610</c:v>
                </c:pt>
                <c:pt idx="28">
                  <c:v>3555536</c:v>
                </c:pt>
                <c:pt idx="29">
                  <c:v>3911819</c:v>
                </c:pt>
                <c:pt idx="30">
                  <c:v>4280987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4-4A9C-B41C-F42D4028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038496"/>
        <c:axId val="842037536"/>
      </c:barChart>
      <c:lineChart>
        <c:grouping val="standard"/>
        <c:varyColors val="0"/>
        <c:ser>
          <c:idx val="1"/>
          <c:order val="1"/>
          <c:tx>
            <c:strRef>
              <c:f>'Cleaned Data'!$N$2</c:f>
              <c:strCache>
                <c:ptCount val="1"/>
                <c:pt idx="0">
                  <c:v>Model Estimate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'Cleaned Data'!$N$3:$N$33</c:f>
              <c:numCache>
                <c:formatCode>"₹"\ #,##0.00</c:formatCode>
                <c:ptCount val="31"/>
                <c:pt idx="0">
                  <c:v>58583.514714599361</c:v>
                </c:pt>
                <c:pt idx="1">
                  <c:v>68439.436919502565</c:v>
                </c:pt>
                <c:pt idx="2">
                  <c:v>79953.491160053265</c:v>
                </c:pt>
                <c:pt idx="3">
                  <c:v>93404.636806108596</c:v>
                </c:pt>
                <c:pt idx="4">
                  <c:v>109118.76455045897</c:v>
                </c:pt>
                <c:pt idx="5">
                  <c:v>127476.59199976461</c:v>
                </c:pt>
                <c:pt idx="6">
                  <c:v>148922.88759702694</c:v>
                </c:pt>
                <c:pt idx="7">
                  <c:v>173977.24635027643</c:v>
                </c:pt>
                <c:pt idx="8">
                  <c:v>203246.67843889588</c:v>
                </c:pt>
                <c:pt idx="9">
                  <c:v>237440.31569090474</c:v>
                </c:pt>
                <c:pt idx="10">
                  <c:v>277386.5922357298</c:v>
                </c:pt>
                <c:pt idx="11">
                  <c:v>324053.31558063789</c:v>
                </c:pt>
                <c:pt idx="12">
                  <c:v>378571.11438740336</c:v>
                </c:pt>
                <c:pt idx="13">
                  <c:v>442260.8310355568</c:v>
                </c:pt>
                <c:pt idx="14">
                  <c:v>516665.52263177518</c:v>
                </c:pt>
                <c:pt idx="15">
                  <c:v>603587.8457771535</c:v>
                </c:pt>
                <c:pt idx="16">
                  <c:v>705133.73084031499</c:v>
                </c:pt>
                <c:pt idx="17">
                  <c:v>823763.40386475332</c:v>
                </c:pt>
                <c:pt idx="18">
                  <c:v>962350.99225528014</c:v>
                </c:pt>
                <c:pt idx="19">
                  <c:v>1124254.1583539124</c:v>
                </c:pt>
                <c:pt idx="20">
                  <c:v>1313395.4479685102</c:v>
                </c:pt>
                <c:pt idx="21">
                  <c:v>1534357.3247441575</c:v>
                </c:pt>
                <c:pt idx="22">
                  <c:v>1792493.1928441504</c:v>
                </c:pt>
                <c:pt idx="23">
                  <c:v>2094057.0977678655</c:v>
                </c:pt>
                <c:pt idx="24">
                  <c:v>2446355.2476615952</c:v>
                </c:pt>
                <c:pt idx="25">
                  <c:v>2857923.026139399</c:v>
                </c:pt>
                <c:pt idx="26">
                  <c:v>3338731.7852323726</c:v>
                </c:pt>
                <c:pt idx="27">
                  <c:v>3900430.4285895866</c:v>
                </c:pt>
                <c:pt idx="28">
                  <c:v>4556627.6379426839</c:v>
                </c:pt>
                <c:pt idx="29">
                  <c:v>5323221.5805400396</c:v>
                </c:pt>
                <c:pt idx="30">
                  <c:v>6218785.0856123948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4-4A9C-B41C-F42D4028A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038496"/>
        <c:axId val="842037536"/>
      </c:lineChart>
      <c:catAx>
        <c:axId val="84203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37536"/>
        <c:crosses val="autoZero"/>
        <c:auto val="1"/>
        <c:lblAlgn val="ctr"/>
        <c:lblOffset val="100"/>
        <c:noMultiLvlLbl val="0"/>
      </c:catAx>
      <c:valAx>
        <c:axId val="84203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365760</xdr:rowOff>
    </xdr:from>
    <xdr:to>
      <xdr:col>12</xdr:col>
      <xdr:colOff>381000</xdr:colOff>
      <xdr:row>24</xdr:row>
      <xdr:rowOff>10161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571500</xdr:colOff>
      <xdr:row>1</xdr:row>
      <xdr:rowOff>355600</xdr:rowOff>
    </xdr:from>
    <xdr:to>
      <xdr:col>23</xdr:col>
      <xdr:colOff>454761</xdr:colOff>
      <xdr:row>24</xdr:row>
      <xdr:rowOff>41737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165100</xdr:rowOff>
    </xdr:from>
    <xdr:to>
      <xdr:col>12</xdr:col>
      <xdr:colOff>372534</xdr:colOff>
      <xdr:row>47</xdr:row>
      <xdr:rowOff>132753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584201</xdr:colOff>
      <xdr:row>25</xdr:row>
      <xdr:rowOff>4233</xdr:rowOff>
    </xdr:from>
    <xdr:to>
      <xdr:col>23</xdr:col>
      <xdr:colOff>508001</xdr:colOff>
      <xdr:row>47</xdr:row>
      <xdr:rowOff>131232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12700</xdr:colOff>
      <xdr:row>1</xdr:row>
      <xdr:rowOff>355600</xdr:rowOff>
    </xdr:from>
    <xdr:to>
      <xdr:col>35</xdr:col>
      <xdr:colOff>0</xdr:colOff>
      <xdr:row>24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839A55-7921-41BB-8792-330ED970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839DC-5492-4393-A460-1A325A33FB85}" name="Table2" displayName="Table2" ref="A2:O33" totalsRowShown="0" headerRowDxfId="28" dataDxfId="27" tableBorderDxfId="26">
  <autoFilter ref="A2:O33" xr:uid="{851839DC-5492-4393-A460-1A325A33FB85}"/>
  <tableColumns count="15">
    <tableColumn id="1" xr3:uid="{EBAA1686-4691-4C9C-86DE-554E966774AA}" name="Year Index" dataDxfId="25"/>
    <tableColumn id="2" xr3:uid="{FED63B48-50FD-4DCC-A45F-A7AC9CEA842D}" name="Year" dataDxfId="24"/>
    <tableColumn id="3" xr3:uid="{F2950479-7A6F-4A69-90AC-32E3F15D8F67}" name="Public" dataDxfId="23"/>
    <tableColumn id="4" xr3:uid="{FB386CFA-CBD7-47FE-A7CD-ADCFB5E947B9}" name="Private" dataDxfId="22"/>
    <tableColumn id="5" xr3:uid="{45664B7B-7DD6-4185-BBED-73DEE65B1B6A}" name="Joint" dataDxfId="21"/>
    <tableColumn id="6" xr3:uid="{5D0C7887-0C90-4465-9FD4-4288F10182E7}" name="Co-operative" dataDxfId="20"/>
    <tableColumn id="7" xr3:uid="{EB67E67F-848B-406C-9213-8B4D35B71E4F}" name="Stock Exch." dataDxfId="19"/>
    <tableColumn id="8" xr3:uid="{A030AE39-3DF5-45E5-AE77-BC96C8BB4184}" name="Loans" dataDxfId="18"/>
    <tableColumn id="9" xr3:uid="{80373075-A88B-404F-8E81-311E46B420B6}" name="Total" dataDxfId="17">
      <calculatedColumnFormula>C3+D3+E3+F3</calculatedColumnFormula>
    </tableColumn>
    <tableColumn id="10" xr3:uid="{71C5225F-254C-44EC-A853-CAD4B4F14299}" name="YoY Growth %" dataDxfId="16">
      <calculatedColumnFormula>(I3-I2)/I2*100</calculatedColumnFormula>
    </tableColumn>
    <tableColumn id="11" xr3:uid="{AEA6F58B-E0CD-4103-82E0-4D3EC9768079}" name="Public Share %" dataDxfId="15">
      <calculatedColumnFormula>C3/I3*100</calculatedColumnFormula>
    </tableColumn>
    <tableColumn id="12" xr3:uid="{95553D08-22EF-47A6-A000-EC05348FABD9}" name="Private Share %" dataDxfId="14">
      <calculatedColumnFormula>D3/I3*100</calculatedColumnFormula>
    </tableColumn>
    <tableColumn id="13" xr3:uid="{F239B4D4-E351-413C-A39E-3B4576C09730}" name="Natural log(Investment)" dataDxfId="13">
      <calculatedColumnFormula>LN(Table2[[#This Row],[Total]])</calculatedColumnFormula>
    </tableColumn>
    <tableColumn id="14" xr3:uid="{0CFACA73-940A-4BBA-A700-0007FEC32C1B}" name="Model Estimate" dataDxfId="12">
      <calculatedColumnFormula>EXP(Analysis!$I$17+Analysis!$I$16*(Table2[[#This Row],[Year Index]]))</calculatedColumnFormula>
    </tableColumn>
    <tableColumn id="15" xr3:uid="{4ECF2E5F-AFC2-4C26-8440-49BA87770B7A}" name="% Error" dataDxfId="11">
      <calculatedColumnFormula>(Table2[[#This Row],[Total]]-Table2[[#This Row],[Model Estimate]])/Table2[[#This Row],[Total]]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"/>
  <sheetViews>
    <sheetView showGridLines="0" tabSelected="1" topLeftCell="E1" zoomScale="80" zoomScaleNormal="80" workbookViewId="0">
      <selection activeCell="AA59" sqref="AA59"/>
    </sheetView>
  </sheetViews>
  <sheetFormatPr defaultColWidth="8.6640625" defaultRowHeight="14.4" x14ac:dyDescent="0.3"/>
  <cols>
    <col min="1" max="16384" width="8.6640625" style="54"/>
  </cols>
  <sheetData>
    <row r="1" spans="1:37" ht="31.5" customHeight="1" x14ac:dyDescent="0.3">
      <c r="A1" s="59" t="s">
        <v>60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</row>
    <row r="2" spans="1:37" ht="31.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</sheetData>
  <mergeCells count="1">
    <mergeCell ref="A1:AK1"/>
  </mergeCells>
  <pageMargins left="0.75" right="0.75" top="1" bottom="1" header="0.511811023622047" footer="0.511811023622047"/>
  <pageSetup paperSize="12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7"/>
  <sheetViews>
    <sheetView zoomScale="80" zoomScaleNormal="80" workbookViewId="0">
      <selection activeCell="Q10" sqref="Q10"/>
    </sheetView>
  </sheetViews>
  <sheetFormatPr defaultColWidth="8.6640625" defaultRowHeight="14.4" x14ac:dyDescent="0.3"/>
  <cols>
    <col min="1" max="1" width="13.44140625" customWidth="1"/>
    <col min="2" max="2" width="9.5546875" customWidth="1"/>
    <col min="3" max="3" width="14.109375" bestFit="1" customWidth="1"/>
    <col min="4" max="4" width="13.5546875" bestFit="1" customWidth="1"/>
    <col min="5" max="5" width="11.5546875" bestFit="1" customWidth="1"/>
    <col min="6" max="6" width="18.5546875" bestFit="1" customWidth="1"/>
    <col min="7" max="7" width="17.21875" bestFit="1" customWidth="1"/>
    <col min="8" max="8" width="12.6640625" bestFit="1" customWidth="1"/>
    <col min="9" max="9" width="14" customWidth="1"/>
    <col min="10" max="10" width="15.88671875" customWidth="1"/>
    <col min="11" max="11" width="16.33203125" customWidth="1"/>
    <col min="12" max="12" width="17" customWidth="1"/>
    <col min="13" max="13" width="21.5546875" bestFit="1" customWidth="1"/>
    <col min="14" max="14" width="15" bestFit="1" customWidth="1"/>
    <col min="15" max="15" width="13.109375" bestFit="1" customWidth="1"/>
    <col min="17" max="17" width="16.6640625" customWidth="1"/>
    <col min="18" max="18" width="13.33203125" bestFit="1" customWidth="1"/>
    <col min="20" max="20" width="13.44140625" bestFit="1" customWidth="1"/>
    <col min="21" max="21" width="16.88671875" bestFit="1" customWidth="1"/>
    <col min="22" max="22" width="14.109375" bestFit="1" customWidth="1"/>
    <col min="23" max="24" width="8.6640625" customWidth="1"/>
  </cols>
  <sheetData>
    <row r="1" spans="1:20" ht="31.2" customHeight="1" x14ac:dyDescent="0.3">
      <c r="A1" s="60" t="s">
        <v>12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18"/>
    </row>
    <row r="2" spans="1:20" ht="27" x14ac:dyDescent="0.3">
      <c r="A2" s="10" t="s">
        <v>61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6</v>
      </c>
      <c r="G2" s="11" t="s">
        <v>17</v>
      </c>
      <c r="H2" s="11" t="s">
        <v>8</v>
      </c>
      <c r="I2" s="11" t="s">
        <v>18</v>
      </c>
      <c r="J2" s="11" t="s">
        <v>19</v>
      </c>
      <c r="K2" s="11" t="s">
        <v>20</v>
      </c>
      <c r="L2" s="12" t="s">
        <v>21</v>
      </c>
      <c r="M2" s="21" t="s">
        <v>67</v>
      </c>
      <c r="N2" s="19" t="s">
        <v>68</v>
      </c>
      <c r="O2" s="19" t="s">
        <v>69</v>
      </c>
    </row>
    <row r="3" spans="1:20" x14ac:dyDescent="0.3">
      <c r="A3" s="13">
        <v>1</v>
      </c>
      <c r="B3" s="14">
        <v>1994</v>
      </c>
      <c r="C3" s="22">
        <v>36247</v>
      </c>
      <c r="D3" s="22">
        <v>5894</v>
      </c>
      <c r="E3" s="22">
        <v>305</v>
      </c>
      <c r="F3" s="22">
        <v>1716</v>
      </c>
      <c r="G3" s="22">
        <v>29536</v>
      </c>
      <c r="H3" s="22">
        <v>12876</v>
      </c>
      <c r="I3" s="56">
        <f>C3+D3+E3+F3</f>
        <v>44162</v>
      </c>
      <c r="J3" s="15"/>
      <c r="K3" s="57">
        <f>C3/I3*100</f>
        <v>82.077351569222415</v>
      </c>
      <c r="L3" s="57">
        <f>D3/I3*100</f>
        <v>13.346315837145056</v>
      </c>
      <c r="M3" s="24">
        <f>LN(Table2[[#This Row],[Total]])</f>
        <v>10.695619969780495</v>
      </c>
      <c r="N3" s="26">
        <f>EXP(Analysis!$I$17+Analysis!$I$16*(Table2[[#This Row],[Year Index]]))</f>
        <v>58583.514714599361</v>
      </c>
      <c r="O3" s="27">
        <f>(Table2[[#This Row],[Total]]-Table2[[#This Row],[Model Estimate]])/Table2[[#This Row],[Total]]</f>
        <v>-0.32655936584845258</v>
      </c>
      <c r="S3" s="20"/>
      <c r="T3" s="20"/>
    </row>
    <row r="4" spans="1:20" x14ac:dyDescent="0.3">
      <c r="A4" s="13">
        <v>2</v>
      </c>
      <c r="B4" s="16">
        <v>1995</v>
      </c>
      <c r="C4" s="23">
        <v>44319</v>
      </c>
      <c r="D4" s="23">
        <v>7017</v>
      </c>
      <c r="E4" s="23">
        <v>350</v>
      </c>
      <c r="F4" s="23">
        <v>1793</v>
      </c>
      <c r="G4" s="23">
        <v>37420</v>
      </c>
      <c r="H4" s="23">
        <v>14169</v>
      </c>
      <c r="I4" s="56">
        <f t="shared" ref="I4" si="0">C4+D4+E4+F4</f>
        <v>53479</v>
      </c>
      <c r="J4" s="17">
        <f>(I4-I3)/I3*100</f>
        <v>21.097323490783932</v>
      </c>
      <c r="K4" s="58">
        <f t="shared" ref="K4:K33" si="1">C4/I4*100</f>
        <v>82.87178144692308</v>
      </c>
      <c r="L4" s="57">
        <f t="shared" ref="L4" si="2">D4/I4*100</f>
        <v>13.121038164513173</v>
      </c>
      <c r="M4" s="25">
        <f>LN(Table2[[#This Row],[Total]])</f>
        <v>10.887044332462152</v>
      </c>
      <c r="N4" s="26">
        <f>EXP(Analysis!$I$17+Analysis!$I$16*(Table2[[#This Row],[Year Index]]))</f>
        <v>68439.436919502565</v>
      </c>
      <c r="O4" s="27">
        <f>(Table2[[#This Row],[Total]]-Table2[[#This Row],[Model Estimate]])/Table2[[#This Row],[Total]]</f>
        <v>-0.27974414105541551</v>
      </c>
    </row>
    <row r="5" spans="1:20" x14ac:dyDescent="0.3">
      <c r="A5" s="13">
        <v>3</v>
      </c>
      <c r="B5" s="14">
        <v>1996</v>
      </c>
      <c r="C5" s="22">
        <v>54003</v>
      </c>
      <c r="D5" s="22">
        <v>8814</v>
      </c>
      <c r="E5" s="22">
        <v>380</v>
      </c>
      <c r="F5" s="22">
        <v>1859</v>
      </c>
      <c r="G5" s="22">
        <v>47086</v>
      </c>
      <c r="H5" s="22">
        <v>18086</v>
      </c>
      <c r="I5" s="56">
        <f t="shared" ref="I5:I33" si="3">C5+D5+E5+F5</f>
        <v>65056</v>
      </c>
      <c r="J5" s="17">
        <f t="shared" ref="J5:J33" si="4">(I5-I4)/I4*100</f>
        <v>21.647749583948837</v>
      </c>
      <c r="K5" s="58">
        <f t="shared" si="1"/>
        <v>83.010022134776193</v>
      </c>
      <c r="L5" s="57">
        <f t="shared" ref="L5:L33" si="5">D5/I5*100</f>
        <v>13.548327594687654</v>
      </c>
      <c r="M5" s="25">
        <f>LN(Table2[[#This Row],[Total]])</f>
        <v>11.083003716428074</v>
      </c>
      <c r="N5" s="26">
        <f>EXP(Analysis!$I$17+Analysis!$I$16*(Table2[[#This Row],[Year Index]]))</f>
        <v>79953.491160053265</v>
      </c>
      <c r="O5" s="27">
        <f>(Table2[[#This Row],[Total]]-Table2[[#This Row],[Model Estimate]])/Table2[[#This Row],[Total]]</f>
        <v>-0.22899488379324373</v>
      </c>
    </row>
    <row r="6" spans="1:20" x14ac:dyDescent="0.3">
      <c r="A6" s="13">
        <v>4</v>
      </c>
      <c r="B6" s="16">
        <v>1997</v>
      </c>
      <c r="C6" s="23">
        <v>65917</v>
      </c>
      <c r="D6" s="23">
        <v>9589</v>
      </c>
      <c r="E6" s="23">
        <v>490</v>
      </c>
      <c r="F6" s="23">
        <v>1942</v>
      </c>
      <c r="G6" s="23">
        <v>58851</v>
      </c>
      <c r="H6" s="23">
        <v>16751</v>
      </c>
      <c r="I6" s="56">
        <f t="shared" si="3"/>
        <v>77938</v>
      </c>
      <c r="J6" s="17">
        <f t="shared" si="4"/>
        <v>19.801401869158877</v>
      </c>
      <c r="K6" s="58">
        <f t="shared" si="1"/>
        <v>84.576201596140521</v>
      </c>
      <c r="L6" s="57">
        <f t="shared" si="5"/>
        <v>12.303369344863867</v>
      </c>
      <c r="M6" s="25">
        <f>LN(Table2[[#This Row],[Total]])</f>
        <v>11.263668917798766</v>
      </c>
      <c r="N6" s="26">
        <f>EXP(Analysis!$I$17+Analysis!$I$16*(Table2[[#This Row],[Year Index]]))</f>
        <v>93404.636806108596</v>
      </c>
      <c r="O6" s="27">
        <f>(Table2[[#This Row],[Total]]-Table2[[#This Row],[Model Estimate]])/Table2[[#This Row],[Total]]</f>
        <v>-0.19844795614602115</v>
      </c>
    </row>
    <row r="7" spans="1:20" x14ac:dyDescent="0.3">
      <c r="A7" s="13">
        <v>5</v>
      </c>
      <c r="B7" s="14">
        <v>1998</v>
      </c>
      <c r="C7" s="22">
        <v>79236</v>
      </c>
      <c r="D7" s="22">
        <v>11834</v>
      </c>
      <c r="E7" s="22">
        <v>500</v>
      </c>
      <c r="F7" s="22">
        <v>2030</v>
      </c>
      <c r="G7" s="22">
        <v>72537</v>
      </c>
      <c r="H7" s="22">
        <v>18490</v>
      </c>
      <c r="I7" s="56">
        <f t="shared" si="3"/>
        <v>93600</v>
      </c>
      <c r="J7" s="17">
        <f t="shared" si="4"/>
        <v>20.09546049423901</v>
      </c>
      <c r="K7" s="58">
        <f t="shared" si="1"/>
        <v>84.65384615384616</v>
      </c>
      <c r="L7" s="57">
        <f t="shared" si="5"/>
        <v>12.643162393162394</v>
      </c>
      <c r="M7" s="25">
        <f>LN(Table2[[#This Row],[Total]])</f>
        <v>11.446785662465684</v>
      </c>
      <c r="N7" s="26">
        <f>EXP(Analysis!$I$17+Analysis!$I$16*(Table2[[#This Row],[Year Index]]))</f>
        <v>109118.76455045897</v>
      </c>
      <c r="O7" s="27">
        <f>(Table2[[#This Row],[Total]]-Table2[[#This Row],[Model Estimate]])/Table2[[#This Row],[Total]]</f>
        <v>-0.16579876656473264</v>
      </c>
    </row>
    <row r="8" spans="1:20" x14ac:dyDescent="0.3">
      <c r="A8" s="13">
        <v>6</v>
      </c>
      <c r="B8" s="16">
        <v>1999</v>
      </c>
      <c r="C8" s="23">
        <v>96411</v>
      </c>
      <c r="D8" s="23">
        <v>15048</v>
      </c>
      <c r="E8" s="23">
        <v>549</v>
      </c>
      <c r="F8" s="23">
        <v>2095</v>
      </c>
      <c r="G8" s="23">
        <v>90824</v>
      </c>
      <c r="H8" s="23">
        <v>26110</v>
      </c>
      <c r="I8" s="56">
        <f t="shared" si="3"/>
        <v>114103</v>
      </c>
      <c r="J8" s="17">
        <f t="shared" si="4"/>
        <v>21.904914529914528</v>
      </c>
      <c r="K8" s="58">
        <f t="shared" si="1"/>
        <v>84.494710919081882</v>
      </c>
      <c r="L8" s="57">
        <f t="shared" si="5"/>
        <v>13.188084450014461</v>
      </c>
      <c r="M8" s="25">
        <f>LN(Table2[[#This Row],[Total]])</f>
        <v>11.644856828230198</v>
      </c>
      <c r="N8" s="26">
        <f>EXP(Analysis!$I$17+Analysis!$I$16*(Table2[[#This Row],[Year Index]]))</f>
        <v>127476.59199976461</v>
      </c>
      <c r="O8" s="27">
        <f>(Table2[[#This Row],[Total]]-Table2[[#This Row],[Model Estimate]])/Table2[[#This Row],[Total]]</f>
        <v>-0.11720631359179524</v>
      </c>
    </row>
    <row r="9" spans="1:20" x14ac:dyDescent="0.3">
      <c r="A9" s="13">
        <v>7</v>
      </c>
      <c r="B9" s="14">
        <v>2000</v>
      </c>
      <c r="C9" s="22">
        <v>117059</v>
      </c>
      <c r="D9" s="22">
        <v>19268</v>
      </c>
      <c r="E9" s="22">
        <v>576</v>
      </c>
      <c r="F9" s="22">
        <v>2129</v>
      </c>
      <c r="G9" s="22">
        <v>114032</v>
      </c>
      <c r="H9" s="22">
        <v>28926</v>
      </c>
      <c r="I9" s="56">
        <f t="shared" si="3"/>
        <v>139032</v>
      </c>
      <c r="J9" s="17">
        <f t="shared" si="4"/>
        <v>21.847804176927863</v>
      </c>
      <c r="K9" s="58">
        <f t="shared" si="1"/>
        <v>84.19572472524311</v>
      </c>
      <c r="L9" s="57">
        <f t="shared" si="5"/>
        <v>13.8586800161114</v>
      </c>
      <c r="M9" s="25">
        <f>LN(Table2[[#This Row],[Total]])</f>
        <v>11.84245940144457</v>
      </c>
      <c r="N9" s="26">
        <f>EXP(Analysis!$I$17+Analysis!$I$16*(Table2[[#This Row],[Year Index]]))</f>
        <v>148922.88759702694</v>
      </c>
      <c r="O9" s="27">
        <f>(Table2[[#This Row],[Total]]-Table2[[#This Row],[Model Estimate]])/Table2[[#This Row],[Total]]</f>
        <v>-7.1141086922628924E-2</v>
      </c>
    </row>
    <row r="10" spans="1:20" x14ac:dyDescent="0.3">
      <c r="A10" s="13">
        <v>8</v>
      </c>
      <c r="B10" s="16">
        <v>2001</v>
      </c>
      <c r="C10" s="23">
        <v>141256</v>
      </c>
      <c r="D10" s="23">
        <v>22780</v>
      </c>
      <c r="E10" s="23">
        <v>800</v>
      </c>
      <c r="F10" s="23">
        <v>2168</v>
      </c>
      <c r="G10" s="23">
        <v>140106</v>
      </c>
      <c r="H10" s="23">
        <v>32155</v>
      </c>
      <c r="I10" s="56">
        <f t="shared" si="3"/>
        <v>167004</v>
      </c>
      <c r="J10" s="17">
        <f t="shared" si="4"/>
        <v>20.119109269808387</v>
      </c>
      <c r="K10" s="58">
        <f t="shared" si="1"/>
        <v>84.58240521185121</v>
      </c>
      <c r="L10" s="57">
        <f t="shared" si="5"/>
        <v>13.640391846901871</v>
      </c>
      <c r="M10" s="25">
        <f>LN(Table2[[#This Row],[Total]])</f>
        <v>12.025773043207854</v>
      </c>
      <c r="N10" s="26">
        <f>EXP(Analysis!$I$17+Analysis!$I$16*(Table2[[#This Row],[Year Index]]))</f>
        <v>173977.24635027643</v>
      </c>
      <c r="O10" s="27">
        <f>(Table2[[#This Row],[Total]]-Table2[[#This Row],[Model Estimate]])/Table2[[#This Row],[Total]]</f>
        <v>-4.175496605037262E-2</v>
      </c>
    </row>
    <row r="11" spans="1:20" x14ac:dyDescent="0.3">
      <c r="A11" s="13">
        <v>9</v>
      </c>
      <c r="B11" s="14">
        <v>2002</v>
      </c>
      <c r="C11" s="22">
        <v>180574</v>
      </c>
      <c r="D11" s="22">
        <v>23708</v>
      </c>
      <c r="E11" s="22">
        <v>793</v>
      </c>
      <c r="F11" s="22">
        <v>2129</v>
      </c>
      <c r="G11" s="22">
        <v>178943</v>
      </c>
      <c r="H11" s="22">
        <v>34913</v>
      </c>
      <c r="I11" s="56">
        <f t="shared" si="3"/>
        <v>207204</v>
      </c>
      <c r="J11" s="17">
        <f t="shared" si="4"/>
        <v>24.071279729826831</v>
      </c>
      <c r="K11" s="58">
        <f t="shared" si="1"/>
        <v>87.147931507113768</v>
      </c>
      <c r="L11" s="57">
        <f t="shared" si="5"/>
        <v>11.441864056678442</v>
      </c>
      <c r="M11" s="25">
        <f>LN(Table2[[#This Row],[Total]])</f>
        <v>12.241459094200431</v>
      </c>
      <c r="N11" s="26">
        <f>EXP(Analysis!$I$17+Analysis!$I$16*(Table2[[#This Row],[Year Index]]))</f>
        <v>203246.67843889588</v>
      </c>
      <c r="O11" s="27">
        <f>(Table2[[#This Row],[Total]]-Table2[[#This Row],[Model Estimate]])/Table2[[#This Row],[Total]]</f>
        <v>1.9098673583058837E-2</v>
      </c>
    </row>
    <row r="12" spans="1:20" x14ac:dyDescent="0.3">
      <c r="A12" s="13">
        <v>10</v>
      </c>
      <c r="B12" s="16">
        <v>2003</v>
      </c>
      <c r="C12" s="23">
        <v>219597</v>
      </c>
      <c r="D12" s="23">
        <v>29407</v>
      </c>
      <c r="E12" s="23">
        <v>685</v>
      </c>
      <c r="F12" s="23">
        <v>2082</v>
      </c>
      <c r="G12" s="23">
        <v>222449</v>
      </c>
      <c r="H12" s="23">
        <v>27540</v>
      </c>
      <c r="I12" s="56">
        <f t="shared" si="3"/>
        <v>251771</v>
      </c>
      <c r="J12" s="17">
        <f t="shared" si="4"/>
        <v>21.508754657245998</v>
      </c>
      <c r="K12" s="58">
        <f t="shared" si="1"/>
        <v>87.220926953461671</v>
      </c>
      <c r="L12" s="57">
        <f t="shared" si="5"/>
        <v>11.680058465828074</v>
      </c>
      <c r="M12" s="25">
        <f>LN(Table2[[#This Row],[Total]])</f>
        <v>12.436275223189268</v>
      </c>
      <c r="N12" s="26">
        <f>EXP(Analysis!$I$17+Analysis!$I$16*(Table2[[#This Row],[Year Index]]))</f>
        <v>237440.31569090474</v>
      </c>
      <c r="O12" s="27">
        <f>(Table2[[#This Row],[Total]]-Table2[[#This Row],[Model Estimate]])/Table2[[#This Row],[Total]]</f>
        <v>5.691951936122612E-2</v>
      </c>
    </row>
    <row r="13" spans="1:20" x14ac:dyDescent="0.3">
      <c r="A13" s="13">
        <v>11</v>
      </c>
      <c r="B13" s="14">
        <v>2004</v>
      </c>
      <c r="C13" s="22">
        <v>271779</v>
      </c>
      <c r="D13" s="22">
        <v>51924</v>
      </c>
      <c r="E13" s="22">
        <v>960</v>
      </c>
      <c r="F13" s="22">
        <v>2080</v>
      </c>
      <c r="G13" s="22">
        <v>297566</v>
      </c>
      <c r="H13" s="22">
        <v>31800</v>
      </c>
      <c r="I13" s="56">
        <f t="shared" si="3"/>
        <v>326743</v>
      </c>
      <c r="J13" s="17">
        <f t="shared" si="4"/>
        <v>29.777853684499011</v>
      </c>
      <c r="K13" s="58">
        <f t="shared" si="1"/>
        <v>83.178216518793064</v>
      </c>
      <c r="L13" s="57">
        <f t="shared" si="5"/>
        <v>15.891388644898283</v>
      </c>
      <c r="M13" s="25">
        <f>LN(Table2[[#This Row],[Total]])</f>
        <v>12.696929208150641</v>
      </c>
      <c r="N13" s="26">
        <f>EXP(Analysis!$I$17+Analysis!$I$16*(Table2[[#This Row],[Year Index]]))</f>
        <v>277386.5922357298</v>
      </c>
      <c r="O13" s="27">
        <f>(Table2[[#This Row],[Total]]-Table2[[#This Row],[Model Estimate]])/Table2[[#This Row],[Total]]</f>
        <v>0.15105574645599204</v>
      </c>
    </row>
    <row r="14" spans="1:20" x14ac:dyDescent="0.3">
      <c r="A14" s="13">
        <v>12</v>
      </c>
      <c r="B14" s="16">
        <v>2005</v>
      </c>
      <c r="C14" s="23">
        <v>322022</v>
      </c>
      <c r="D14" s="23">
        <v>68485</v>
      </c>
      <c r="E14" s="23">
        <v>1270</v>
      </c>
      <c r="F14" s="23">
        <v>1408</v>
      </c>
      <c r="G14" s="23">
        <v>355635</v>
      </c>
      <c r="H14" s="23">
        <v>37530</v>
      </c>
      <c r="I14" s="56">
        <f t="shared" si="3"/>
        <v>393185</v>
      </c>
      <c r="J14" s="17">
        <f t="shared" si="4"/>
        <v>20.334636090138119</v>
      </c>
      <c r="K14" s="58">
        <f t="shared" si="1"/>
        <v>81.900886351208726</v>
      </c>
      <c r="L14" s="57">
        <f t="shared" si="5"/>
        <v>17.418009334028511</v>
      </c>
      <c r="M14" s="25">
        <f>LN(Table2[[#This Row],[Total]])</f>
        <v>12.882035518002551</v>
      </c>
      <c r="N14" s="26">
        <f>EXP(Analysis!$I$17+Analysis!$I$16*(Table2[[#This Row],[Year Index]]))</f>
        <v>324053.31558063789</v>
      </c>
      <c r="O14" s="27">
        <f>(Table2[[#This Row],[Total]]-Table2[[#This Row],[Model Estimate]])/Table2[[#This Row],[Total]]</f>
        <v>0.17582482653041726</v>
      </c>
    </row>
    <row r="15" spans="1:20" x14ac:dyDescent="0.3">
      <c r="A15" s="13">
        <v>13</v>
      </c>
      <c r="B15" s="14">
        <v>2006</v>
      </c>
      <c r="C15" s="22">
        <v>378807</v>
      </c>
      <c r="D15" s="22">
        <v>105148</v>
      </c>
      <c r="E15" s="22">
        <v>1915</v>
      </c>
      <c r="F15" s="22">
        <v>1356</v>
      </c>
      <c r="G15" s="22">
        <v>450097</v>
      </c>
      <c r="H15" s="22">
        <v>37135</v>
      </c>
      <c r="I15" s="56">
        <f t="shared" si="3"/>
        <v>487226</v>
      </c>
      <c r="J15" s="17">
        <f t="shared" si="4"/>
        <v>23.917748642496534</v>
      </c>
      <c r="K15" s="58">
        <f t="shared" si="1"/>
        <v>77.747698193446155</v>
      </c>
      <c r="L15" s="57">
        <f t="shared" si="5"/>
        <v>21.580950113499689</v>
      </c>
      <c r="M15" s="25">
        <f>LN(Table2[[#This Row],[Total]])</f>
        <v>13.096483360127957</v>
      </c>
      <c r="N15" s="26">
        <f>EXP(Analysis!$I$17+Analysis!$I$16*(Table2[[#This Row],[Year Index]]))</f>
        <v>378571.11438740336</v>
      </c>
      <c r="O15" s="27">
        <f>(Table2[[#This Row],[Total]]-Table2[[#This Row],[Model Estimate]])/Table2[[#This Row],[Total]]</f>
        <v>0.2230071581003408</v>
      </c>
    </row>
    <row r="16" spans="1:20" x14ac:dyDescent="0.3">
      <c r="A16" s="13">
        <v>14</v>
      </c>
      <c r="B16" s="16">
        <v>2007</v>
      </c>
      <c r="C16" s="23">
        <v>433810</v>
      </c>
      <c r="D16" s="23">
        <v>84294</v>
      </c>
      <c r="E16" s="23">
        <v>75</v>
      </c>
      <c r="F16" s="23">
        <v>3555</v>
      </c>
      <c r="G16" s="23">
        <v>480427</v>
      </c>
      <c r="H16" s="23">
        <v>41308</v>
      </c>
      <c r="I16" s="56">
        <f t="shared" si="3"/>
        <v>521734</v>
      </c>
      <c r="J16" s="17">
        <f t="shared" si="4"/>
        <v>7.0825448559805926</v>
      </c>
      <c r="K16" s="58">
        <f t="shared" si="1"/>
        <v>83.147734286053804</v>
      </c>
      <c r="L16" s="57">
        <f t="shared" si="5"/>
        <v>16.156508872337245</v>
      </c>
      <c r="M16" s="25">
        <f>LN(Table2[[#This Row],[Total]])</f>
        <v>13.164913158441443</v>
      </c>
      <c r="N16" s="26">
        <f>EXP(Analysis!$I$17+Analysis!$I$16*(Table2[[#This Row],[Year Index]]))</f>
        <v>442260.8310355568</v>
      </c>
      <c r="O16" s="27">
        <f>(Table2[[#This Row],[Total]]-Table2[[#This Row],[Model Estimate]])/Table2[[#This Row],[Total]]</f>
        <v>0.1523250717117213</v>
      </c>
    </row>
    <row r="17" spans="1:15" x14ac:dyDescent="0.3">
      <c r="A17" s="13">
        <v>15</v>
      </c>
      <c r="B17" s="14">
        <v>2008</v>
      </c>
      <c r="C17" s="22">
        <v>503388</v>
      </c>
      <c r="D17" s="22">
        <v>128468</v>
      </c>
      <c r="E17" s="22">
        <v>74</v>
      </c>
      <c r="F17" s="22">
        <v>3818</v>
      </c>
      <c r="G17" s="22">
        <v>590467</v>
      </c>
      <c r="H17" s="22">
        <v>45281</v>
      </c>
      <c r="I17" s="56">
        <f t="shared" si="3"/>
        <v>635748</v>
      </c>
      <c r="J17" s="17">
        <f t="shared" si="4"/>
        <v>21.85289822016583</v>
      </c>
      <c r="K17" s="58">
        <f t="shared" si="1"/>
        <v>79.180429981690864</v>
      </c>
      <c r="L17" s="57">
        <f t="shared" si="5"/>
        <v>20.207377766033083</v>
      </c>
      <c r="M17" s="25">
        <f>LN(Table2[[#This Row],[Total]])</f>
        <v>13.362557537388737</v>
      </c>
      <c r="N17" s="26">
        <f>EXP(Analysis!$I$17+Analysis!$I$16*(Table2[[#This Row],[Year Index]]))</f>
        <v>516665.52263177518</v>
      </c>
      <c r="O17" s="27">
        <f>(Table2[[#This Row],[Total]]-Table2[[#This Row],[Model Estimate]])/Table2[[#This Row],[Total]]</f>
        <v>0.1873108171291531</v>
      </c>
    </row>
    <row r="18" spans="1:15" x14ac:dyDescent="0.3">
      <c r="A18" s="13">
        <v>16</v>
      </c>
      <c r="B18" s="16">
        <v>2009</v>
      </c>
      <c r="C18" s="23">
        <v>572050</v>
      </c>
      <c r="D18" s="23">
        <v>187141</v>
      </c>
      <c r="E18" s="23">
        <v>72</v>
      </c>
      <c r="F18" s="23">
        <v>3629</v>
      </c>
      <c r="G18" s="23">
        <v>715710</v>
      </c>
      <c r="H18" s="23">
        <v>47181</v>
      </c>
      <c r="I18" s="56">
        <f t="shared" si="3"/>
        <v>762892</v>
      </c>
      <c r="J18" s="17">
        <f t="shared" si="4"/>
        <v>19.999119147838449</v>
      </c>
      <c r="K18" s="58">
        <f t="shared" si="1"/>
        <v>74.984401461805859</v>
      </c>
      <c r="L18" s="57">
        <f t="shared" si="5"/>
        <v>24.530470892341249</v>
      </c>
      <c r="M18" s="25">
        <f>LN(Table2[[#This Row],[Total]])</f>
        <v>13.544871753721072</v>
      </c>
      <c r="N18" s="26">
        <f>EXP(Analysis!$I$17+Analysis!$I$16*(Table2[[#This Row],[Year Index]]))</f>
        <v>603587.8457771535</v>
      </c>
      <c r="O18" s="27">
        <f>(Table2[[#This Row],[Total]]-Table2[[#This Row],[Model Estimate]])/Table2[[#This Row],[Total]]</f>
        <v>0.20881612891843995</v>
      </c>
    </row>
    <row r="19" spans="1:15" x14ac:dyDescent="0.3">
      <c r="A19" s="13">
        <v>17</v>
      </c>
      <c r="B19" s="14">
        <v>2010</v>
      </c>
      <c r="C19" s="22">
        <v>678374</v>
      </c>
      <c r="D19" s="22">
        <v>236135</v>
      </c>
      <c r="E19" s="22">
        <v>71</v>
      </c>
      <c r="F19" s="22">
        <v>3667</v>
      </c>
      <c r="G19" s="22">
        <v>872388</v>
      </c>
      <c r="H19" s="22">
        <v>45855</v>
      </c>
      <c r="I19" s="56">
        <f t="shared" si="3"/>
        <v>918247</v>
      </c>
      <c r="J19" s="17">
        <f t="shared" si="4"/>
        <v>20.363957152519625</v>
      </c>
      <c r="K19" s="58">
        <f t="shared" si="1"/>
        <v>73.87707229100667</v>
      </c>
      <c r="L19" s="57">
        <f t="shared" si="5"/>
        <v>25.715847696752615</v>
      </c>
      <c r="M19" s="25">
        <f>LN(Table2[[#This Row],[Total]])</f>
        <v>13.73022169659245</v>
      </c>
      <c r="N19" s="26">
        <f>EXP(Analysis!$I$17+Analysis!$I$16*(Table2[[#This Row],[Year Index]]))</f>
        <v>705133.73084031499</v>
      </c>
      <c r="O19" s="27">
        <f>(Table2[[#This Row],[Total]]-Table2[[#This Row],[Model Estimate]])/Table2[[#This Row],[Total]]</f>
        <v>0.23208708458583041</v>
      </c>
    </row>
    <row r="20" spans="1:15" x14ac:dyDescent="0.3">
      <c r="A20" s="13">
        <v>18</v>
      </c>
      <c r="B20" s="16">
        <v>2011</v>
      </c>
      <c r="C20" s="23">
        <v>799009</v>
      </c>
      <c r="D20" s="23">
        <v>267518</v>
      </c>
      <c r="E20" s="23">
        <v>82</v>
      </c>
      <c r="F20" s="23">
        <v>3667</v>
      </c>
      <c r="G20" s="23">
        <v>1026492</v>
      </c>
      <c r="H20" s="23">
        <v>43784</v>
      </c>
      <c r="I20" s="56">
        <f t="shared" si="3"/>
        <v>1070276</v>
      </c>
      <c r="J20" s="17">
        <f t="shared" si="4"/>
        <v>16.556438518176481</v>
      </c>
      <c r="K20" s="58">
        <f t="shared" si="1"/>
        <v>74.654481647724509</v>
      </c>
      <c r="L20" s="57">
        <f t="shared" si="5"/>
        <v>24.99523487399512</v>
      </c>
      <c r="M20" s="25">
        <f>LN(Table2[[#This Row],[Total]])</f>
        <v>13.883427117101508</v>
      </c>
      <c r="N20" s="26">
        <f>EXP(Analysis!$I$17+Analysis!$I$16*(Table2[[#This Row],[Year Index]]))</f>
        <v>823763.40386475332</v>
      </c>
      <c r="O20" s="27">
        <f>(Table2[[#This Row],[Total]]-Table2[[#This Row],[Model Estimate]])/Table2[[#This Row],[Total]]</f>
        <v>0.23032619262250736</v>
      </c>
    </row>
    <row r="21" spans="1:15" x14ac:dyDescent="0.3">
      <c r="A21" s="13">
        <v>19</v>
      </c>
      <c r="B21" s="14">
        <v>2012</v>
      </c>
      <c r="C21" s="22">
        <v>899655</v>
      </c>
      <c r="D21" s="22">
        <v>300510</v>
      </c>
      <c r="E21" s="22">
        <v>85</v>
      </c>
      <c r="F21" s="22">
        <v>3567</v>
      </c>
      <c r="G21" s="22">
        <v>1162388</v>
      </c>
      <c r="H21" s="22">
        <v>41430</v>
      </c>
      <c r="I21" s="56">
        <f t="shared" si="3"/>
        <v>1203817</v>
      </c>
      <c r="J21" s="17">
        <f t="shared" si="4"/>
        <v>12.477248859172773</v>
      </c>
      <c r="K21" s="58">
        <f t="shared" si="1"/>
        <v>74.733535080498115</v>
      </c>
      <c r="L21" s="57">
        <f t="shared" si="5"/>
        <v>24.963096550389302</v>
      </c>
      <c r="M21" s="25">
        <f>LN(Table2[[#This Row],[Total]])</f>
        <v>14.001007899943261</v>
      </c>
      <c r="N21" s="26">
        <f>EXP(Analysis!$I$17+Analysis!$I$16*(Table2[[#This Row],[Year Index]]))</f>
        <v>962350.99225528014</v>
      </c>
      <c r="O21" s="27">
        <f>(Table2[[#This Row],[Total]]-Table2[[#This Row],[Model Estimate]])/Table2[[#This Row],[Total]]</f>
        <v>0.20058364996068329</v>
      </c>
    </row>
    <row r="22" spans="1:15" x14ac:dyDescent="0.3">
      <c r="A22" s="13">
        <v>20</v>
      </c>
      <c r="B22" s="16">
        <v>2013</v>
      </c>
      <c r="C22" s="23">
        <v>1018781</v>
      </c>
      <c r="D22" s="23">
        <v>329308</v>
      </c>
      <c r="E22" s="23">
        <v>86</v>
      </c>
      <c r="F22" s="23">
        <v>822</v>
      </c>
      <c r="G22" s="23">
        <v>1307333</v>
      </c>
      <c r="H22" s="23">
        <v>41664</v>
      </c>
      <c r="I22" s="56">
        <f t="shared" si="3"/>
        <v>1348997</v>
      </c>
      <c r="J22" s="17">
        <f t="shared" si="4"/>
        <v>12.05997257058174</v>
      </c>
      <c r="K22" s="58">
        <f t="shared" si="1"/>
        <v>75.521368839219065</v>
      </c>
      <c r="L22" s="57">
        <f t="shared" si="5"/>
        <v>24.41132189322882</v>
      </c>
      <c r="M22" s="25">
        <f>LN(Table2[[#This Row],[Total]])</f>
        <v>14.114871911317888</v>
      </c>
      <c r="N22" s="26">
        <f>EXP(Analysis!$I$17+Analysis!$I$16*(Table2[[#This Row],[Year Index]]))</f>
        <v>1124254.1583539124</v>
      </c>
      <c r="O22" s="27">
        <f>(Table2[[#This Row],[Total]]-Table2[[#This Row],[Model Estimate]])/Table2[[#This Row],[Total]]</f>
        <v>0.16659995659448285</v>
      </c>
    </row>
    <row r="23" spans="1:15" x14ac:dyDescent="0.3">
      <c r="A23" s="13">
        <v>21</v>
      </c>
      <c r="B23" s="14">
        <v>2014</v>
      </c>
      <c r="C23" s="22">
        <v>1194261</v>
      </c>
      <c r="D23" s="22">
        <v>316024</v>
      </c>
      <c r="E23" s="22">
        <v>94</v>
      </c>
      <c r="F23" s="22">
        <v>754</v>
      </c>
      <c r="G23" s="22">
        <v>1468886</v>
      </c>
      <c r="H23" s="22">
        <v>42247</v>
      </c>
      <c r="I23" s="56">
        <f t="shared" si="3"/>
        <v>1511133</v>
      </c>
      <c r="J23" s="17">
        <f t="shared" si="4"/>
        <v>12.01900374871108</v>
      </c>
      <c r="K23" s="58">
        <f t="shared" si="1"/>
        <v>79.030833156313847</v>
      </c>
      <c r="L23" s="57">
        <f t="shared" si="5"/>
        <v>20.913050009496185</v>
      </c>
      <c r="M23" s="25">
        <f>LN(Table2[[#This Row],[Total]])</f>
        <v>14.228370258559268</v>
      </c>
      <c r="N23" s="26">
        <f>EXP(Analysis!$I$17+Analysis!$I$16*(Table2[[#This Row],[Year Index]]))</f>
        <v>1313395.4479685102</v>
      </c>
      <c r="O23" s="27">
        <f>(Table2[[#This Row],[Total]]-Table2[[#This Row],[Model Estimate]])/Table2[[#This Row],[Total]]</f>
        <v>0.1308538375056926</v>
      </c>
    </row>
    <row r="24" spans="1:15" x14ac:dyDescent="0.3">
      <c r="A24" s="13">
        <v>22</v>
      </c>
      <c r="B24" s="16">
        <v>2015</v>
      </c>
      <c r="C24" s="23">
        <v>1369713</v>
      </c>
      <c r="D24" s="23">
        <v>337997</v>
      </c>
      <c r="E24" s="23">
        <v>94</v>
      </c>
      <c r="F24" s="23">
        <v>685</v>
      </c>
      <c r="G24" s="23">
        <v>1668047</v>
      </c>
      <c r="H24" s="23">
        <v>40442</v>
      </c>
      <c r="I24" s="56">
        <f t="shared" si="3"/>
        <v>1708489</v>
      </c>
      <c r="J24" s="17">
        <f t="shared" si="4"/>
        <v>13.060134349524496</v>
      </c>
      <c r="K24" s="58">
        <f t="shared" si="1"/>
        <v>80.171016611754595</v>
      </c>
      <c r="L24" s="57">
        <f t="shared" si="5"/>
        <v>19.783387543027786</v>
      </c>
      <c r="M24" s="25">
        <f>LN(Table2[[#This Row],[Total]])</f>
        <v>14.351119912120502</v>
      </c>
      <c r="N24" s="26">
        <f>EXP(Analysis!$I$17+Analysis!$I$16*(Table2[[#This Row],[Year Index]]))</f>
        <v>1534357.3247441575</v>
      </c>
      <c r="O24" s="27">
        <f>(Table2[[#This Row],[Total]]-Table2[[#This Row],[Model Estimate]])/Table2[[#This Row],[Total]]</f>
        <v>0.10192144945378197</v>
      </c>
    </row>
    <row r="25" spans="1:15" x14ac:dyDescent="0.3">
      <c r="A25" s="13">
        <v>23</v>
      </c>
      <c r="B25" s="14">
        <v>2016</v>
      </c>
      <c r="C25" s="22">
        <v>1578842</v>
      </c>
      <c r="D25" s="22">
        <v>345852</v>
      </c>
      <c r="E25" s="22">
        <v>96</v>
      </c>
      <c r="F25" s="22">
        <v>1159</v>
      </c>
      <c r="G25" s="22">
        <v>1891161</v>
      </c>
      <c r="H25" s="22">
        <v>34788</v>
      </c>
      <c r="I25" s="56">
        <f t="shared" si="3"/>
        <v>1925949</v>
      </c>
      <c r="J25" s="17">
        <f t="shared" si="4"/>
        <v>12.728206034689132</v>
      </c>
      <c r="K25" s="58">
        <f t="shared" si="1"/>
        <v>81.977352463642589</v>
      </c>
      <c r="L25" s="57">
        <f t="shared" si="5"/>
        <v>17.957484855517979</v>
      </c>
      <c r="M25" s="25">
        <f>LN(Table2[[#This Row],[Total]])</f>
        <v>14.470929391238835</v>
      </c>
      <c r="N25" s="26">
        <f>EXP(Analysis!$I$17+Analysis!$I$16*(Table2[[#This Row],[Year Index]]))</f>
        <v>1792493.1928441504</v>
      </c>
      <c r="O25" s="27">
        <f>(Table2[[#This Row],[Total]]-Table2[[#This Row],[Model Estimate]])/Table2[[#This Row],[Total]]</f>
        <v>6.9293531218038301E-2</v>
      </c>
    </row>
    <row r="26" spans="1:15" x14ac:dyDescent="0.3">
      <c r="A26" s="13">
        <v>24</v>
      </c>
      <c r="B26" s="16">
        <v>2017</v>
      </c>
      <c r="C26" s="23">
        <v>1797369</v>
      </c>
      <c r="D26" s="23">
        <v>385729</v>
      </c>
      <c r="E26" s="23">
        <v>94</v>
      </c>
      <c r="F26" s="23">
        <v>986</v>
      </c>
      <c r="G26" s="23">
        <v>2152592</v>
      </c>
      <c r="H26" s="23">
        <v>31586</v>
      </c>
      <c r="I26" s="56">
        <f t="shared" si="3"/>
        <v>2184178</v>
      </c>
      <c r="J26" s="17">
        <f t="shared" si="4"/>
        <v>13.407883594010016</v>
      </c>
      <c r="K26" s="58">
        <f t="shared" si="1"/>
        <v>82.290408565602263</v>
      </c>
      <c r="L26" s="57">
        <f t="shared" si="5"/>
        <v>17.660144914929095</v>
      </c>
      <c r="M26" s="25">
        <f>LN(Table2[[#This Row],[Total]])</f>
        <v>14.596750114357341</v>
      </c>
      <c r="N26" s="26">
        <f>EXP(Analysis!$I$17+Analysis!$I$16*(Table2[[#This Row],[Year Index]]))</f>
        <v>2094057.0977678655</v>
      </c>
      <c r="O26" s="27">
        <f>(Table2[[#This Row],[Total]]-Table2[[#This Row],[Model Estimate]])/Table2[[#This Row],[Total]]</f>
        <v>4.1260786544015403E-2</v>
      </c>
    </row>
    <row r="27" spans="1:15" x14ac:dyDescent="0.3">
      <c r="A27" s="13">
        <v>25</v>
      </c>
      <c r="B27" s="14">
        <v>2018</v>
      </c>
      <c r="C27" s="22">
        <v>2046432</v>
      </c>
      <c r="D27" s="22">
        <v>395296</v>
      </c>
      <c r="E27" s="22">
        <v>108</v>
      </c>
      <c r="F27" s="22">
        <v>838</v>
      </c>
      <c r="G27" s="22">
        <v>2415496</v>
      </c>
      <c r="H27" s="22">
        <v>27178</v>
      </c>
      <c r="I27" s="56">
        <f t="shared" si="3"/>
        <v>2442674</v>
      </c>
      <c r="J27" s="17">
        <f t="shared" si="4"/>
        <v>11.834932867193059</v>
      </c>
      <c r="K27" s="58">
        <f t="shared" si="1"/>
        <v>83.77835110211187</v>
      </c>
      <c r="L27" s="57">
        <f t="shared" si="5"/>
        <v>16.182920848217979</v>
      </c>
      <c r="M27" s="25">
        <f>LN(Table2[[#This Row],[Total]])</f>
        <v>14.708603898846894</v>
      </c>
      <c r="N27" s="26">
        <f>EXP(Analysis!$I$17+Analysis!$I$16*(Table2[[#This Row],[Year Index]]))</f>
        <v>2446355.2476615952</v>
      </c>
      <c r="O27" s="27">
        <f>(Table2[[#This Row],[Total]]-Table2[[#This Row],[Model Estimate]])/Table2[[#This Row],[Total]]</f>
        <v>-1.507056472372176E-3</v>
      </c>
    </row>
    <row r="28" spans="1:15" x14ac:dyDescent="0.3">
      <c r="A28" s="13">
        <v>26</v>
      </c>
      <c r="B28" s="16">
        <v>2019</v>
      </c>
      <c r="C28" s="23">
        <v>2264149</v>
      </c>
      <c r="D28" s="23">
        <v>396317</v>
      </c>
      <c r="E28" s="23">
        <v>102</v>
      </c>
      <c r="F28" s="23">
        <v>996</v>
      </c>
      <c r="G28" s="23">
        <v>2636655</v>
      </c>
      <c r="H28" s="23">
        <v>24909</v>
      </c>
      <c r="I28" s="56">
        <f t="shared" si="3"/>
        <v>2661564</v>
      </c>
      <c r="J28" s="17">
        <f t="shared" si="4"/>
        <v>8.9610811757934137</v>
      </c>
      <c r="K28" s="58">
        <f t="shared" si="1"/>
        <v>85.068365817992728</v>
      </c>
      <c r="L28" s="57">
        <f t="shared" si="5"/>
        <v>14.890380242594203</v>
      </c>
      <c r="M28" s="25">
        <f>LN(Table2[[#This Row],[Total]])</f>
        <v>14.794424477896102</v>
      </c>
      <c r="N28" s="26">
        <f>EXP(Analysis!$I$17+Analysis!$I$16*(Table2[[#This Row],[Year Index]]))</f>
        <v>2857923.026139399</v>
      </c>
      <c r="O28" s="27">
        <f>(Table2[[#This Row],[Total]]-Table2[[#This Row],[Model Estimate]])/Table2[[#This Row],[Total]]</f>
        <v>-7.3775804804768558E-2</v>
      </c>
    </row>
    <row r="29" spans="1:15" x14ac:dyDescent="0.3">
      <c r="A29" s="13">
        <v>27</v>
      </c>
      <c r="B29" s="14">
        <v>2020</v>
      </c>
      <c r="C29" s="22">
        <v>2504578</v>
      </c>
      <c r="D29" s="22">
        <v>451787</v>
      </c>
      <c r="E29" s="22">
        <v>97</v>
      </c>
      <c r="F29" s="22">
        <v>701</v>
      </c>
      <c r="G29" s="22">
        <v>2936030</v>
      </c>
      <c r="H29" s="22">
        <v>21134</v>
      </c>
      <c r="I29" s="56">
        <f t="shared" si="3"/>
        <v>2957163</v>
      </c>
      <c r="J29" s="17">
        <f t="shared" si="4"/>
        <v>11.106214240950058</v>
      </c>
      <c r="K29" s="58">
        <f t="shared" si="1"/>
        <v>84.695297486137903</v>
      </c>
      <c r="L29" s="57">
        <f t="shared" si="5"/>
        <v>15.277717190428799</v>
      </c>
      <c r="M29" s="25">
        <f>LN(Table2[[#This Row],[Total]])</f>
        <v>14.899740920751288</v>
      </c>
      <c r="N29" s="26">
        <f>EXP(Analysis!$I$17+Analysis!$I$16*(Table2[[#This Row],[Year Index]]))</f>
        <v>3338731.7852323726</v>
      </c>
      <c r="O29" s="27">
        <f>(Table2[[#This Row],[Total]]-Table2[[#This Row],[Model Estimate]])/Table2[[#This Row],[Total]]</f>
        <v>-0.12903204362842785</v>
      </c>
    </row>
    <row r="30" spans="1:15" x14ac:dyDescent="0.3">
      <c r="A30" s="13">
        <v>28</v>
      </c>
      <c r="B30" s="16">
        <v>2021</v>
      </c>
      <c r="C30" s="23">
        <v>2769651</v>
      </c>
      <c r="D30" s="23">
        <v>507172</v>
      </c>
      <c r="E30" s="23">
        <v>105</v>
      </c>
      <c r="F30" s="23">
        <v>682</v>
      </c>
      <c r="G30" s="23">
        <v>3258567</v>
      </c>
      <c r="H30" s="23">
        <v>19043</v>
      </c>
      <c r="I30" s="56">
        <f t="shared" si="3"/>
        <v>3277610</v>
      </c>
      <c r="J30" s="17">
        <f t="shared" si="4"/>
        <v>10.836298168210545</v>
      </c>
      <c r="K30" s="58">
        <f t="shared" si="1"/>
        <v>84.502152483059305</v>
      </c>
      <c r="L30" s="57">
        <f t="shared" si="5"/>
        <v>15.473836118391146</v>
      </c>
      <c r="M30" s="25">
        <f>LN(Table2[[#This Row],[Total]])</f>
        <v>15.00262505622308</v>
      </c>
      <c r="N30" s="26">
        <f>EXP(Analysis!$I$17+Analysis!$I$16*(Table2[[#This Row],[Year Index]]))</f>
        <v>3900430.4285895866</v>
      </c>
      <c r="O30" s="27">
        <f>(Table2[[#This Row],[Total]]-Table2[[#This Row],[Model Estimate]])/Table2[[#This Row],[Total]]</f>
        <v>-0.1900227386997192</v>
      </c>
    </row>
    <row r="31" spans="1:15" x14ac:dyDescent="0.3">
      <c r="A31" s="13">
        <v>29</v>
      </c>
      <c r="B31" s="14">
        <v>2022</v>
      </c>
      <c r="C31" s="22">
        <v>2932198</v>
      </c>
      <c r="D31" s="22">
        <v>622689</v>
      </c>
      <c r="E31" s="22">
        <v>83</v>
      </c>
      <c r="F31" s="22">
        <v>566</v>
      </c>
      <c r="G31" s="22">
        <v>3539141</v>
      </c>
      <c r="H31" s="22">
        <v>16395</v>
      </c>
      <c r="I31" s="56">
        <f t="shared" si="3"/>
        <v>3555536</v>
      </c>
      <c r="J31" s="17">
        <f t="shared" si="4"/>
        <v>8.4795323421639548</v>
      </c>
      <c r="K31" s="58">
        <f t="shared" si="1"/>
        <v>82.468522326872801</v>
      </c>
      <c r="L31" s="57">
        <f t="shared" si="5"/>
        <v>17.513224447734462</v>
      </c>
      <c r="M31" s="25">
        <f>LN(Table2[[#This Row],[Total]])</f>
        <v>15.084016383412656</v>
      </c>
      <c r="N31" s="26">
        <f>EXP(Analysis!$I$17+Analysis!$I$16*(Table2[[#This Row],[Year Index]]))</f>
        <v>4556627.6379426839</v>
      </c>
      <c r="O31" s="27">
        <f>(Table2[[#This Row],[Total]]-Table2[[#This Row],[Model Estimate]])/Table2[[#This Row],[Total]]</f>
        <v>-0.28155857174352444</v>
      </c>
    </row>
    <row r="32" spans="1:15" x14ac:dyDescent="0.3">
      <c r="A32" s="13">
        <v>30</v>
      </c>
      <c r="B32" s="16">
        <v>2023</v>
      </c>
      <c r="C32" s="23">
        <v>3199417</v>
      </c>
      <c r="D32" s="23">
        <v>711903</v>
      </c>
      <c r="E32" s="23">
        <v>40</v>
      </c>
      <c r="F32" s="23">
        <v>459</v>
      </c>
      <c r="G32" s="23">
        <v>3898997</v>
      </c>
      <c r="H32" s="23">
        <v>12822</v>
      </c>
      <c r="I32" s="56">
        <f t="shared" si="3"/>
        <v>3911819</v>
      </c>
      <c r="J32" s="17">
        <f t="shared" si="4"/>
        <v>10.020514487829683</v>
      </c>
      <c r="K32" s="58">
        <f t="shared" si="1"/>
        <v>81.788472319399247</v>
      </c>
      <c r="L32" s="57">
        <f t="shared" si="5"/>
        <v>18.198771466675733</v>
      </c>
      <c r="M32" s="25">
        <f>LN(Table2[[#This Row],[Total]])</f>
        <v>15.179513041172793</v>
      </c>
      <c r="N32" s="26">
        <f>EXP(Analysis!$I$17+Analysis!$I$16*(Table2[[#This Row],[Year Index]]))</f>
        <v>5323221.5805400396</v>
      </c>
      <c r="O32" s="27">
        <f>(Table2[[#This Row],[Total]]-Table2[[#This Row],[Model Estimate]])/Table2[[#This Row],[Total]]</f>
        <v>-0.36080467438295066</v>
      </c>
    </row>
    <row r="33" spans="1:15" x14ac:dyDescent="0.3">
      <c r="A33" s="13">
        <v>31</v>
      </c>
      <c r="B33" s="14">
        <v>2024</v>
      </c>
      <c r="C33" s="22">
        <v>3473042</v>
      </c>
      <c r="D33" s="22">
        <v>807476</v>
      </c>
      <c r="E33" s="22">
        <v>89</v>
      </c>
      <c r="F33" s="22">
        <v>380</v>
      </c>
      <c r="G33" s="22">
        <v>4271037</v>
      </c>
      <c r="H33" s="22">
        <v>9950</v>
      </c>
      <c r="I33" s="56">
        <f t="shared" si="3"/>
        <v>4280987</v>
      </c>
      <c r="J33" s="17">
        <f t="shared" si="4"/>
        <v>9.437246457466463</v>
      </c>
      <c r="K33" s="58">
        <f t="shared" si="1"/>
        <v>81.127132598160188</v>
      </c>
      <c r="L33" s="57">
        <f t="shared" si="5"/>
        <v>18.861911984315764</v>
      </c>
      <c r="M33" s="25">
        <f>LN(Table2[[#This Row],[Total]])</f>
        <v>15.269694148448798</v>
      </c>
      <c r="N33" s="26">
        <f>EXP(Analysis!$I$17+Analysis!$I$16*(Table2[[#This Row],[Year Index]]))</f>
        <v>6218785.0856123948</v>
      </c>
      <c r="O33" s="27">
        <f>(Table2[[#This Row],[Total]]-Table2[[#This Row],[Model Estimate]])/Table2[[#This Row],[Total]]</f>
        <v>-0.45265217708262018</v>
      </c>
    </row>
    <row r="36" spans="1:15" x14ac:dyDescent="0.3">
      <c r="I36" s="9"/>
    </row>
    <row r="37" spans="1:15" x14ac:dyDescent="0.3">
      <c r="I37" s="9"/>
    </row>
  </sheetData>
  <mergeCells count="1">
    <mergeCell ref="A1:M1"/>
  </mergeCells>
  <conditionalFormatting sqref="I4:I33">
    <cfRule type="expression" dxfId="10" priority="6">
      <formula>MOD(ROW(),2)=1</formula>
    </cfRule>
  </conditionalFormatting>
  <conditionalFormatting sqref="I4:L33">
    <cfRule type="expression" dxfId="9" priority="2">
      <formula>MOD(ROW(),2)=1</formula>
    </cfRule>
  </conditionalFormatting>
  <conditionalFormatting sqref="J4:J33">
    <cfRule type="expression" dxfId="8" priority="8">
      <formula>MOD(ROW(),2)=1</formula>
    </cfRule>
    <cfRule type="expression" dxfId="7" priority="9">
      <formula>MOD(ROW(),2)=1</formula>
    </cfRule>
    <cfRule type="expression" dxfId="6" priority="10">
      <formula>MOD(ROW(),2)=1</formula>
    </cfRule>
  </conditionalFormatting>
  <conditionalFormatting sqref="K3:K33">
    <cfRule type="expression" dxfId="5" priority="1">
      <formula>MOD(ROW(),2)=1</formula>
    </cfRule>
  </conditionalFormatting>
  <conditionalFormatting sqref="K3:L33">
    <cfRule type="expression" dxfId="4" priority="5">
      <formula>MOD(ROW(),2)=1</formula>
    </cfRule>
  </conditionalFormatting>
  <conditionalFormatting sqref="L4:L33">
    <cfRule type="expression" dxfId="3" priority="4">
      <formula>MOD(ROW(),2)=1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zoomScaleNormal="100" workbookViewId="0">
      <selection activeCell="E13" sqref="E13"/>
    </sheetView>
  </sheetViews>
  <sheetFormatPr defaultColWidth="8.6640625" defaultRowHeight="14.4" x14ac:dyDescent="0.3"/>
  <cols>
    <col min="1" max="1" width="26.6640625" customWidth="1"/>
    <col min="2" max="2" width="17" bestFit="1" customWidth="1"/>
    <col min="3" max="3" width="12.88671875" bestFit="1" customWidth="1"/>
    <col min="4" max="4" width="13.44140625" bestFit="1" customWidth="1"/>
    <col min="5" max="5" width="14.6640625" bestFit="1" customWidth="1"/>
    <col min="6" max="6" width="17.44140625" customWidth="1"/>
    <col min="8" max="8" width="15.6640625" bestFit="1" customWidth="1"/>
    <col min="9" max="9" width="20.77734375" customWidth="1"/>
  </cols>
  <sheetData>
    <row r="1" spans="1:13" ht="24" customHeight="1" x14ac:dyDescent="0.3">
      <c r="A1" s="62" t="s">
        <v>22</v>
      </c>
      <c r="B1" s="62"/>
      <c r="C1" s="62"/>
      <c r="D1" s="62"/>
      <c r="E1" s="62"/>
      <c r="F1" s="62"/>
      <c r="H1" s="63" t="s">
        <v>55</v>
      </c>
      <c r="I1" s="63"/>
      <c r="J1" s="63"/>
      <c r="K1" s="63"/>
      <c r="L1" s="63"/>
      <c r="M1" s="45"/>
    </row>
    <row r="2" spans="1:13" ht="25.5" customHeight="1" x14ac:dyDescent="0.3">
      <c r="A2" s="47" t="s">
        <v>23</v>
      </c>
      <c r="B2" s="36" t="s">
        <v>24</v>
      </c>
      <c r="C2" s="47" t="s">
        <v>3</v>
      </c>
      <c r="D2" s="47" t="s">
        <v>4</v>
      </c>
      <c r="E2" s="47" t="s">
        <v>7</v>
      </c>
      <c r="F2" s="47" t="s">
        <v>8</v>
      </c>
      <c r="H2" s="48" t="s">
        <v>13</v>
      </c>
      <c r="I2" s="48" t="s">
        <v>56</v>
      </c>
      <c r="J2" s="48" t="s">
        <v>57</v>
      </c>
      <c r="K2" s="48" t="s">
        <v>58</v>
      </c>
      <c r="L2" s="48" t="s">
        <v>59</v>
      </c>
    </row>
    <row r="3" spans="1:13" x14ac:dyDescent="0.3">
      <c r="A3" s="37" t="s">
        <v>25</v>
      </c>
      <c r="B3" s="67">
        <f>AVERAGE('Cleaned Data'!I3:I33)</f>
        <v>1267719.8709677418</v>
      </c>
      <c r="C3" s="67">
        <f>AVERAGE('Cleaned Data'!C3:C33)</f>
        <v>1033611.1612903225</v>
      </c>
      <c r="D3" s="67">
        <f>AVERAGE('Cleaned Data'!D3:D33)</f>
        <v>231952.64516129033</v>
      </c>
      <c r="E3" s="67">
        <f>AVERAGE('Cleaned Data'!G3:G33)</f>
        <v>1238286.9677419355</v>
      </c>
      <c r="F3" s="67">
        <f>AVERAGE('Cleaned Data'!H3:H33)</f>
        <v>29789.612903225807</v>
      </c>
      <c r="H3" s="40">
        <v>2020</v>
      </c>
      <c r="I3" s="41">
        <v>84.7</v>
      </c>
      <c r="J3" s="41">
        <v>15.28</v>
      </c>
      <c r="K3" s="41">
        <f>'Cleaned Data'!E29/'Cleaned Data'!I29*100</f>
        <v>3.2801708935219333E-3</v>
      </c>
      <c r="L3" s="41">
        <v>0.02</v>
      </c>
    </row>
    <row r="4" spans="1:13" x14ac:dyDescent="0.3">
      <c r="A4" s="38" t="s">
        <v>26</v>
      </c>
      <c r="B4" s="23">
        <f>MEDIAN('Cleaned Data'!I3:I33)</f>
        <v>762892</v>
      </c>
      <c r="C4" s="23">
        <f>MEDIAN('Cleaned Data'!C3:C33)</f>
        <v>572050</v>
      </c>
      <c r="D4" s="23">
        <f>MEDIAN('Cleaned Data'!D3:D33)</f>
        <v>187141</v>
      </c>
      <c r="E4" s="23">
        <f>MEDIAN('Cleaned Data'!G3:G33)</f>
        <v>715710</v>
      </c>
      <c r="F4" s="23">
        <f>MEDIAN('Cleaned Data'!H3:H33)</f>
        <v>31586</v>
      </c>
      <c r="H4" s="16">
        <v>2021</v>
      </c>
      <c r="I4" s="42">
        <v>84.5</v>
      </c>
      <c r="J4" s="42">
        <v>15.47</v>
      </c>
      <c r="K4" s="41">
        <f>'Cleaned Data'!E30/'Cleaned Data'!I30*100</f>
        <v>3.203553809025479E-3</v>
      </c>
      <c r="L4" s="42">
        <v>0.02</v>
      </c>
    </row>
    <row r="5" spans="1:13" x14ac:dyDescent="0.3">
      <c r="A5" s="37" t="s">
        <v>27</v>
      </c>
      <c r="B5" s="67">
        <f>STDEV('Cleaned Data'!I3:I33)</f>
        <v>1289395.041560828</v>
      </c>
      <c r="C5" s="67">
        <f>STDEV('Cleaned Data'!C3:C33)</f>
        <v>1068290.4158509239</v>
      </c>
      <c r="D5" s="67">
        <f>STDEV('Cleaned Data'!D3:D33)</f>
        <v>226712.96801426369</v>
      </c>
      <c r="E5" s="67">
        <f>STDEV('Cleaned Data'!G3:G33)</f>
        <v>1292679.846916358</v>
      </c>
      <c r="F5" s="67">
        <f>STDEV('Cleaned Data'!H3:H33)</f>
        <v>11428.382707620005</v>
      </c>
      <c r="H5" s="40">
        <v>2022</v>
      </c>
      <c r="I5" s="41">
        <v>82.47</v>
      </c>
      <c r="J5" s="41">
        <v>17.510000000000002</v>
      </c>
      <c r="K5" s="41">
        <f>'Cleaned Data'!E31/'Cleaned Data'!I31*100</f>
        <v>2.3343878391331153E-3</v>
      </c>
      <c r="L5" s="41">
        <v>0.02</v>
      </c>
    </row>
    <row r="6" spans="1:13" x14ac:dyDescent="0.3">
      <c r="A6" s="38" t="s">
        <v>28</v>
      </c>
      <c r="B6" s="23">
        <f>MIN('Cleaned Data'!I3:I33)</f>
        <v>44162</v>
      </c>
      <c r="C6" s="23">
        <f>MIN('Cleaned Data'!C3:C33)</f>
        <v>36247</v>
      </c>
      <c r="D6" s="23">
        <f>MIN('Cleaned Data'!D3:D33)</f>
        <v>5894</v>
      </c>
      <c r="E6" s="23">
        <f>MIN('Cleaned Data'!G3:G33)</f>
        <v>29536</v>
      </c>
      <c r="F6" s="23">
        <f>MIN('Cleaned Data'!H3:H33)</f>
        <v>9950</v>
      </c>
      <c r="H6" s="16">
        <v>2023</v>
      </c>
      <c r="I6" s="42">
        <v>81.790000000000006</v>
      </c>
      <c r="J6" s="42">
        <v>18.2</v>
      </c>
      <c r="K6" s="41">
        <f>'Cleaned Data'!E32/'Cleaned Data'!I32*100</f>
        <v>1.0225421983992612E-3</v>
      </c>
      <c r="L6" s="42">
        <v>0.01</v>
      </c>
    </row>
    <row r="7" spans="1:13" x14ac:dyDescent="0.3">
      <c r="A7" s="37" t="s">
        <v>29</v>
      </c>
      <c r="B7" s="67">
        <f>MAX('Cleaned Data'!I3:I33)</f>
        <v>4280987</v>
      </c>
      <c r="C7" s="67">
        <f>MAX('Cleaned Data'!C3:C33)</f>
        <v>3473042</v>
      </c>
      <c r="D7" s="67">
        <f>MAX('Cleaned Data'!D3:D33)</f>
        <v>807476</v>
      </c>
      <c r="E7" s="67">
        <f>MAX('Cleaned Data'!G3:G33)</f>
        <v>4271037</v>
      </c>
      <c r="F7" s="67">
        <f>MAX('Cleaned Data'!H3:H33)</f>
        <v>47181</v>
      </c>
      <c r="H7" s="40">
        <v>2024</v>
      </c>
      <c r="I7" s="41">
        <v>81.13</v>
      </c>
      <c r="J7" s="41">
        <v>18.86</v>
      </c>
      <c r="K7" s="41">
        <f>'Cleaned Data'!E33/'Cleaned Data'!I33*100</f>
        <v>2.0789598286563354E-3</v>
      </c>
      <c r="L7" s="41">
        <v>0.01</v>
      </c>
    </row>
    <row r="8" spans="1:13" x14ac:dyDescent="0.3">
      <c r="A8" s="38" t="s">
        <v>30</v>
      </c>
      <c r="B8" s="23">
        <f>B7-B6</f>
        <v>4236825</v>
      </c>
      <c r="C8" s="23">
        <f>C7-C6</f>
        <v>3436795</v>
      </c>
      <c r="D8" s="23">
        <f>D7-D6</f>
        <v>801582</v>
      </c>
      <c r="E8" s="23">
        <f t="shared" ref="E8:F8" si="0">E7-E6</f>
        <v>4241501</v>
      </c>
      <c r="F8" s="23">
        <f t="shared" si="0"/>
        <v>37231</v>
      </c>
    </row>
    <row r="9" spans="1:13" x14ac:dyDescent="0.3">
      <c r="A9" s="37" t="s">
        <v>31</v>
      </c>
      <c r="B9" s="39">
        <f>(B5/B3)*100</f>
        <v>101.70977603881369</v>
      </c>
      <c r="C9" s="39">
        <f t="shared" ref="C9:F9" si="1">(C5/C3)*100</f>
        <v>103.3551548066982</v>
      </c>
      <c r="D9" s="39">
        <f t="shared" si="1"/>
        <v>97.741057385492113</v>
      </c>
      <c r="E9" s="39">
        <f t="shared" si="1"/>
        <v>104.39259077995547</v>
      </c>
      <c r="F9" s="39">
        <f t="shared" si="1"/>
        <v>38.363649587344817</v>
      </c>
    </row>
    <row r="10" spans="1:13" ht="15" x14ac:dyDescent="0.3">
      <c r="H10" s="61" t="s">
        <v>104</v>
      </c>
      <c r="I10" s="61"/>
      <c r="J10" s="61"/>
      <c r="K10" s="61"/>
    </row>
    <row r="11" spans="1:13" ht="15.6" x14ac:dyDescent="0.3">
      <c r="H11" s="46" t="s">
        <v>65</v>
      </c>
      <c r="I11" s="44">
        <v>2026</v>
      </c>
    </row>
    <row r="12" spans="1:13" ht="24" customHeight="1" x14ac:dyDescent="0.3">
      <c r="A12" s="63" t="s">
        <v>32</v>
      </c>
      <c r="B12" s="63"/>
      <c r="C12" s="63"/>
      <c r="D12" s="45"/>
      <c r="E12" s="28"/>
      <c r="F12" s="28"/>
      <c r="H12" s="49" t="s">
        <v>66</v>
      </c>
      <c r="I12" s="66">
        <f>EXP(Analysis!$I$17 + Analysis!$I$16*(I11-1993))</f>
        <v>8487260.977615485</v>
      </c>
    </row>
    <row r="13" spans="1:13" x14ac:dyDescent="0.3">
      <c r="A13" s="30" t="s">
        <v>33</v>
      </c>
      <c r="B13" s="30" t="s">
        <v>34</v>
      </c>
      <c r="C13" s="30" t="s">
        <v>35</v>
      </c>
      <c r="D13" s="29"/>
    </row>
    <row r="14" spans="1:13" ht="27.6" customHeight="1" x14ac:dyDescent="0.3">
      <c r="A14" s="31" t="s">
        <v>36</v>
      </c>
      <c r="B14" s="32" t="s">
        <v>37</v>
      </c>
      <c r="C14" s="31" t="s">
        <v>38</v>
      </c>
      <c r="D14" s="35"/>
      <c r="L14" s="43"/>
    </row>
    <row r="15" spans="1:13" ht="24.6" customHeight="1" x14ac:dyDescent="0.3">
      <c r="A15" s="33" t="s">
        <v>39</v>
      </c>
      <c r="B15" s="34" t="s">
        <v>40</v>
      </c>
      <c r="C15" s="33" t="s">
        <v>41</v>
      </c>
      <c r="D15" s="35"/>
      <c r="H15" s="61" t="s">
        <v>105</v>
      </c>
      <c r="I15" s="61"/>
    </row>
    <row r="16" spans="1:13" ht="24.6" customHeight="1" x14ac:dyDescent="0.3">
      <c r="A16" s="31" t="s">
        <v>42</v>
      </c>
      <c r="B16" s="32" t="s">
        <v>43</v>
      </c>
      <c r="C16" s="31" t="s">
        <v>44</v>
      </c>
      <c r="D16" s="35"/>
      <c r="H16" s="50" t="s">
        <v>63</v>
      </c>
      <c r="I16" s="51">
        <f>SLOPE(Table2[Natural log(Investment)],Table2[Year Index])</f>
        <v>0.15549588348855359</v>
      </c>
    </row>
    <row r="17" spans="1:9" ht="18.600000000000001" customHeight="1" x14ac:dyDescent="0.3">
      <c r="A17" s="33" t="s">
        <v>45</v>
      </c>
      <c r="B17" s="34" t="s">
        <v>46</v>
      </c>
      <c r="C17" s="33" t="s">
        <v>44</v>
      </c>
      <c r="D17" s="35"/>
      <c r="H17" s="50" t="s">
        <v>64</v>
      </c>
      <c r="I17" s="51">
        <f>INTERCEPT(Table2[Natural log(Investment)],Table2[Year Index])</f>
        <v>10.822712733635484</v>
      </c>
    </row>
    <row r="18" spans="1:9" ht="21" customHeight="1" x14ac:dyDescent="0.3">
      <c r="A18" s="31" t="s">
        <v>47</v>
      </c>
      <c r="B18" s="32" t="s">
        <v>48</v>
      </c>
      <c r="C18" s="31" t="s">
        <v>41</v>
      </c>
      <c r="D18" s="35"/>
      <c r="H18" s="50" t="s">
        <v>62</v>
      </c>
      <c r="I18" s="51">
        <f>RSQ(Table2[Natural log(Investment)],Table2[Year Index])</f>
        <v>0.98165218966868351</v>
      </c>
    </row>
    <row r="19" spans="1:9" ht="18.600000000000001" customHeight="1" x14ac:dyDescent="0.3">
      <c r="A19" s="33" t="s">
        <v>49</v>
      </c>
      <c r="B19" s="34" t="s">
        <v>50</v>
      </c>
      <c r="C19" s="33" t="s">
        <v>41</v>
      </c>
      <c r="D19" s="35"/>
    </row>
    <row r="20" spans="1:9" ht="25.8" customHeight="1" x14ac:dyDescent="0.3">
      <c r="A20" s="31" t="s">
        <v>51</v>
      </c>
      <c r="B20" s="32" t="s">
        <v>52</v>
      </c>
      <c r="C20" s="31" t="s">
        <v>41</v>
      </c>
      <c r="D20" s="35"/>
    </row>
    <row r="21" spans="1:9" ht="20.399999999999999" customHeight="1" x14ac:dyDescent="0.3">
      <c r="A21" s="33" t="s">
        <v>53</v>
      </c>
      <c r="B21" s="34" t="s">
        <v>54</v>
      </c>
      <c r="C21" s="33" t="s">
        <v>41</v>
      </c>
      <c r="D21" s="35"/>
    </row>
    <row r="24" spans="1:9" ht="24" customHeight="1" x14ac:dyDescent="0.3"/>
  </sheetData>
  <mergeCells count="5">
    <mergeCell ref="H15:I15"/>
    <mergeCell ref="A1:F1"/>
    <mergeCell ref="H10:K10"/>
    <mergeCell ref="A12:C12"/>
    <mergeCell ref="H1:L1"/>
  </mergeCells>
  <conditionalFormatting sqref="H11:H12">
    <cfRule type="expression" dxfId="2" priority="1">
      <formula>MOD(ROW(),2)=1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C274-EB8E-43DE-B115-8450D388785A}">
  <dimension ref="A1:B19"/>
  <sheetViews>
    <sheetView workbookViewId="0">
      <selection activeCell="D8" sqref="D8"/>
    </sheetView>
  </sheetViews>
  <sheetFormatPr defaultRowHeight="14.4" x14ac:dyDescent="0.3"/>
  <cols>
    <col min="1" max="1" width="18.33203125" bestFit="1" customWidth="1"/>
    <col min="2" max="2" width="165.6640625" bestFit="1" customWidth="1"/>
  </cols>
  <sheetData>
    <row r="1" spans="1:2" ht="17.399999999999999" x14ac:dyDescent="0.3">
      <c r="A1" s="64" t="s">
        <v>106</v>
      </c>
      <c r="B1" s="64"/>
    </row>
    <row r="3" spans="1:2" ht="15.6" customHeight="1" x14ac:dyDescent="0.3">
      <c r="A3" s="52" t="s">
        <v>70</v>
      </c>
      <c r="B3" s="52" t="s">
        <v>71</v>
      </c>
    </row>
    <row r="4" spans="1:2" ht="18" customHeight="1" x14ac:dyDescent="0.3">
      <c r="A4" s="53" t="s">
        <v>72</v>
      </c>
      <c r="B4" s="53" t="s">
        <v>73</v>
      </c>
    </row>
    <row r="5" spans="1:2" ht="18.600000000000001" customHeight="1" x14ac:dyDescent="0.3">
      <c r="A5" s="53" t="s">
        <v>74</v>
      </c>
      <c r="B5" s="53" t="s">
        <v>75</v>
      </c>
    </row>
    <row r="6" spans="1:2" ht="21" customHeight="1" x14ac:dyDescent="0.3">
      <c r="A6" s="53" t="s">
        <v>76</v>
      </c>
      <c r="B6" s="53" t="s">
        <v>77</v>
      </c>
    </row>
    <row r="7" spans="1:2" ht="17.399999999999999" customHeight="1" x14ac:dyDescent="0.3">
      <c r="A7" s="53" t="s">
        <v>78</v>
      </c>
      <c r="B7" s="53" t="s">
        <v>79</v>
      </c>
    </row>
    <row r="8" spans="1:2" ht="19.2" customHeight="1" x14ac:dyDescent="0.3">
      <c r="A8" s="53" t="s">
        <v>80</v>
      </c>
      <c r="B8" s="53" t="s">
        <v>81</v>
      </c>
    </row>
    <row r="9" spans="1:2" ht="18" customHeight="1" x14ac:dyDescent="0.3">
      <c r="A9" s="53" t="s">
        <v>82</v>
      </c>
      <c r="B9" s="53" t="s">
        <v>83</v>
      </c>
    </row>
    <row r="10" spans="1:2" ht="18" customHeight="1" x14ac:dyDescent="0.3">
      <c r="A10" s="53" t="s">
        <v>84</v>
      </c>
      <c r="B10" s="53" t="s">
        <v>85</v>
      </c>
    </row>
    <row r="11" spans="1:2" ht="17.399999999999999" customHeight="1" x14ac:dyDescent="0.3">
      <c r="A11" s="53" t="s">
        <v>86</v>
      </c>
      <c r="B11" s="53" t="s">
        <v>87</v>
      </c>
    </row>
    <row r="12" spans="1:2" ht="18" customHeight="1" x14ac:dyDescent="0.3">
      <c r="A12" s="53" t="s">
        <v>88</v>
      </c>
      <c r="B12" s="53" t="s">
        <v>89</v>
      </c>
    </row>
    <row r="13" spans="1:2" ht="16.8" customHeight="1" x14ac:dyDescent="0.3">
      <c r="A13" s="53" t="s">
        <v>90</v>
      </c>
      <c r="B13" s="53" t="s">
        <v>91</v>
      </c>
    </row>
    <row r="14" spans="1:2" ht="18.600000000000001" customHeight="1" x14ac:dyDescent="0.3">
      <c r="A14" s="53" t="s">
        <v>92</v>
      </c>
      <c r="B14" s="53" t="s">
        <v>93</v>
      </c>
    </row>
    <row r="15" spans="1:2" ht="18.600000000000001" customHeight="1" x14ac:dyDescent="0.3">
      <c r="A15" s="53" t="s">
        <v>94</v>
      </c>
      <c r="B15" s="53" t="s">
        <v>95</v>
      </c>
    </row>
    <row r="16" spans="1:2" ht="21" customHeight="1" x14ac:dyDescent="0.3">
      <c r="A16" s="53" t="s">
        <v>96</v>
      </c>
      <c r="B16" s="53" t="s">
        <v>97</v>
      </c>
    </row>
    <row r="17" spans="1:2" ht="16.8" customHeight="1" x14ac:dyDescent="0.3">
      <c r="A17" s="53" t="s">
        <v>98</v>
      </c>
      <c r="B17" s="53" t="s">
        <v>99</v>
      </c>
    </row>
    <row r="18" spans="1:2" ht="18" customHeight="1" x14ac:dyDescent="0.3">
      <c r="A18" s="53" t="s">
        <v>100</v>
      </c>
      <c r="B18" s="53" t="s">
        <v>101</v>
      </c>
    </row>
    <row r="19" spans="1:2" ht="17.399999999999999" customHeight="1" x14ac:dyDescent="0.3">
      <c r="A19" s="53" t="s">
        <v>102</v>
      </c>
      <c r="B19" s="53" t="s">
        <v>103</v>
      </c>
    </row>
  </sheetData>
  <mergeCells count="1">
    <mergeCell ref="A1:B1"/>
  </mergeCells>
  <conditionalFormatting sqref="A3:A19">
    <cfRule type="expression" dxfId="1" priority="3">
      <formula>MOD(ROW(),2)=1</formula>
    </cfRule>
  </conditionalFormatting>
  <conditionalFormatting sqref="A3:B19">
    <cfRule type="expression" dxfId="0" priority="1">
      <formula>MOD(ROW(),2)=1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zoomScaleNormal="100" workbookViewId="0">
      <selection activeCell="I6" sqref="I6"/>
    </sheetView>
  </sheetViews>
  <sheetFormatPr defaultColWidth="8.6640625" defaultRowHeight="14.4" x14ac:dyDescent="0.3"/>
  <cols>
    <col min="1" max="1" width="16" customWidth="1"/>
    <col min="2" max="3" width="14" customWidth="1"/>
    <col min="4" max="4" width="12" customWidth="1"/>
    <col min="5" max="5" width="14" customWidth="1"/>
    <col min="6" max="6" width="16" customWidth="1"/>
    <col min="7" max="7" width="12" customWidth="1"/>
    <col min="8" max="8" width="16" customWidth="1"/>
    <col min="9" max="9" width="14" customWidth="1"/>
  </cols>
  <sheetData>
    <row r="1" spans="1:9" ht="30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</row>
    <row r="2" spans="1:9" x14ac:dyDescent="0.3">
      <c r="A2" s="65" t="s">
        <v>1</v>
      </c>
      <c r="B2" s="65"/>
      <c r="C2" s="65"/>
      <c r="D2" s="65"/>
      <c r="E2" s="65"/>
      <c r="F2" s="65"/>
      <c r="G2" s="65"/>
      <c r="H2" s="65"/>
      <c r="I2" s="65"/>
    </row>
    <row r="3" spans="1: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">
      <c r="A4" s="2">
        <v>1994</v>
      </c>
      <c r="B4" s="3">
        <v>36247</v>
      </c>
      <c r="C4" s="3">
        <v>5894</v>
      </c>
      <c r="D4" s="3">
        <v>305</v>
      </c>
      <c r="E4" s="3">
        <v>1716</v>
      </c>
      <c r="F4" s="3">
        <v>29536</v>
      </c>
      <c r="G4" s="3">
        <v>12876</v>
      </c>
      <c r="H4" s="3">
        <v>44162</v>
      </c>
      <c r="I4" s="4" t="s">
        <v>11</v>
      </c>
    </row>
    <row r="5" spans="1:9" x14ac:dyDescent="0.3">
      <c r="A5" s="5">
        <v>1995</v>
      </c>
      <c r="B5" s="6">
        <v>44319</v>
      </c>
      <c r="C5" s="6">
        <v>7017</v>
      </c>
      <c r="D5" s="6">
        <v>350</v>
      </c>
      <c r="E5" s="6">
        <v>1793</v>
      </c>
      <c r="F5" s="6">
        <v>37420</v>
      </c>
      <c r="G5" s="6">
        <v>14169</v>
      </c>
      <c r="H5" s="6">
        <v>53480</v>
      </c>
      <c r="I5" s="7">
        <v>21.099587880983702</v>
      </c>
    </row>
    <row r="6" spans="1:9" x14ac:dyDescent="0.3">
      <c r="A6" s="2">
        <v>1996</v>
      </c>
      <c r="B6" s="3">
        <v>54003</v>
      </c>
      <c r="C6" s="3">
        <v>8814</v>
      </c>
      <c r="D6" s="3">
        <v>380</v>
      </c>
      <c r="E6" s="3">
        <v>1859</v>
      </c>
      <c r="F6" s="3">
        <v>47086</v>
      </c>
      <c r="G6" s="3">
        <v>18086</v>
      </c>
      <c r="H6" s="3">
        <v>65057</v>
      </c>
      <c r="I6" s="8">
        <v>21.6473448017951</v>
      </c>
    </row>
    <row r="7" spans="1:9" x14ac:dyDescent="0.3">
      <c r="A7" s="5">
        <v>1997</v>
      </c>
      <c r="B7" s="6">
        <v>65917</v>
      </c>
      <c r="C7" s="6">
        <v>9589</v>
      </c>
      <c r="D7" s="6">
        <v>490</v>
      </c>
      <c r="E7" s="6">
        <v>1942</v>
      </c>
      <c r="F7" s="6">
        <v>58851</v>
      </c>
      <c r="G7" s="6">
        <v>16751</v>
      </c>
      <c r="H7" s="6">
        <v>77938</v>
      </c>
      <c r="I7" s="7">
        <v>19.799560385508101</v>
      </c>
    </row>
    <row r="8" spans="1:9" x14ac:dyDescent="0.3">
      <c r="A8" s="2">
        <v>1998</v>
      </c>
      <c r="B8" s="3">
        <v>79236</v>
      </c>
      <c r="C8" s="3">
        <v>11834</v>
      </c>
      <c r="D8" s="3">
        <v>500</v>
      </c>
      <c r="E8" s="3">
        <v>2030</v>
      </c>
      <c r="F8" s="3">
        <v>72537</v>
      </c>
      <c r="G8" s="3">
        <v>18490</v>
      </c>
      <c r="H8" s="3">
        <v>93600</v>
      </c>
      <c r="I8" s="8">
        <v>20.095460494238999</v>
      </c>
    </row>
    <row r="9" spans="1:9" x14ac:dyDescent="0.3">
      <c r="A9" s="5">
        <v>1999</v>
      </c>
      <c r="B9" s="6">
        <v>96411</v>
      </c>
      <c r="C9" s="6">
        <v>15048</v>
      </c>
      <c r="D9" s="6">
        <v>549</v>
      </c>
      <c r="E9" s="6">
        <v>2095</v>
      </c>
      <c r="F9" s="6">
        <v>90824</v>
      </c>
      <c r="G9" s="6">
        <v>26110</v>
      </c>
      <c r="H9" s="6">
        <v>114103</v>
      </c>
      <c r="I9" s="7">
        <v>21.9049145299145</v>
      </c>
    </row>
    <row r="10" spans="1:9" x14ac:dyDescent="0.3">
      <c r="A10" s="2">
        <v>2000</v>
      </c>
      <c r="B10" s="3">
        <v>117059</v>
      </c>
      <c r="C10" s="3">
        <v>19268</v>
      </c>
      <c r="D10" s="3">
        <v>576</v>
      </c>
      <c r="E10" s="3">
        <v>2129</v>
      </c>
      <c r="F10" s="3">
        <v>114032</v>
      </c>
      <c r="G10" s="3">
        <v>28926</v>
      </c>
      <c r="H10" s="3">
        <v>139032</v>
      </c>
      <c r="I10" s="8">
        <v>21.847804176927902</v>
      </c>
    </row>
    <row r="11" spans="1:9" x14ac:dyDescent="0.3">
      <c r="A11" s="5">
        <v>2001</v>
      </c>
      <c r="B11" s="6">
        <v>141256</v>
      </c>
      <c r="C11" s="6">
        <v>22780</v>
      </c>
      <c r="D11" s="6">
        <v>800</v>
      </c>
      <c r="E11" s="6">
        <v>2168</v>
      </c>
      <c r="F11" s="6">
        <v>140106</v>
      </c>
      <c r="G11" s="6">
        <v>32155</v>
      </c>
      <c r="H11" s="6">
        <v>167004</v>
      </c>
      <c r="I11" s="7">
        <v>20.119109269808401</v>
      </c>
    </row>
    <row r="12" spans="1:9" x14ac:dyDescent="0.3">
      <c r="A12" s="2">
        <v>2002</v>
      </c>
      <c r="B12" s="3">
        <v>180574</v>
      </c>
      <c r="C12" s="3">
        <v>23708</v>
      </c>
      <c r="D12" s="3">
        <v>793</v>
      </c>
      <c r="E12" s="3">
        <v>2129</v>
      </c>
      <c r="F12" s="3">
        <v>178943</v>
      </c>
      <c r="G12" s="3">
        <v>34913</v>
      </c>
      <c r="H12" s="3">
        <v>207203</v>
      </c>
      <c r="I12" s="8">
        <v>24.070680941773901</v>
      </c>
    </row>
    <row r="13" spans="1:9" x14ac:dyDescent="0.3">
      <c r="A13" s="5">
        <v>2003</v>
      </c>
      <c r="B13" s="6">
        <v>219597</v>
      </c>
      <c r="C13" s="6">
        <v>29407</v>
      </c>
      <c r="D13" s="6">
        <v>685</v>
      </c>
      <c r="E13" s="6">
        <v>2082</v>
      </c>
      <c r="F13" s="6">
        <v>222449</v>
      </c>
      <c r="G13" s="6">
        <v>27540</v>
      </c>
      <c r="H13" s="6">
        <v>251770</v>
      </c>
      <c r="I13" s="7">
        <v>21.508858462473999</v>
      </c>
    </row>
    <row r="14" spans="1:9" x14ac:dyDescent="0.3">
      <c r="A14" s="2">
        <v>2004</v>
      </c>
      <c r="B14" s="3">
        <v>271779</v>
      </c>
      <c r="C14" s="3">
        <v>51924</v>
      </c>
      <c r="D14" s="3">
        <v>960</v>
      </c>
      <c r="E14" s="3">
        <v>2080</v>
      </c>
      <c r="F14" s="3">
        <v>297566</v>
      </c>
      <c r="G14" s="3">
        <v>31800</v>
      </c>
      <c r="H14" s="3">
        <v>326741</v>
      </c>
      <c r="I14" s="8">
        <v>29.777574770624</v>
      </c>
    </row>
    <row r="15" spans="1:9" x14ac:dyDescent="0.3">
      <c r="A15" s="5">
        <v>2005</v>
      </c>
      <c r="B15" s="6">
        <v>322022</v>
      </c>
      <c r="C15" s="6">
        <v>68485</v>
      </c>
      <c r="D15" s="6">
        <v>1270</v>
      </c>
      <c r="E15" s="6">
        <v>1408</v>
      </c>
      <c r="F15" s="6">
        <v>355635</v>
      </c>
      <c r="G15" s="6">
        <v>37530</v>
      </c>
      <c r="H15" s="6">
        <v>393185</v>
      </c>
      <c r="I15" s="7">
        <v>20.335372665199699</v>
      </c>
    </row>
    <row r="16" spans="1:9" x14ac:dyDescent="0.3">
      <c r="A16" s="2">
        <v>2006</v>
      </c>
      <c r="B16" s="3">
        <v>378807</v>
      </c>
      <c r="C16" s="3">
        <v>105148</v>
      </c>
      <c r="D16" s="3">
        <v>1915</v>
      </c>
      <c r="E16" s="3">
        <v>1356</v>
      </c>
      <c r="F16" s="3">
        <v>450097</v>
      </c>
      <c r="G16" s="3">
        <v>37135</v>
      </c>
      <c r="H16" s="3">
        <v>487227</v>
      </c>
      <c r="I16" s="8">
        <v>23.918002975698499</v>
      </c>
    </row>
    <row r="17" spans="1:9" x14ac:dyDescent="0.3">
      <c r="A17" s="5">
        <v>2007</v>
      </c>
      <c r="B17" s="6">
        <v>433810</v>
      </c>
      <c r="C17" s="6">
        <v>84294</v>
      </c>
      <c r="D17" s="6">
        <v>75</v>
      </c>
      <c r="E17" s="6">
        <v>3555</v>
      </c>
      <c r="F17" s="6">
        <v>480427</v>
      </c>
      <c r="G17" s="6">
        <v>41308</v>
      </c>
      <c r="H17" s="6">
        <v>521735</v>
      </c>
      <c r="I17" s="7">
        <v>7.08253031954305</v>
      </c>
    </row>
    <row r="18" spans="1:9" x14ac:dyDescent="0.3">
      <c r="A18" s="2">
        <v>2008</v>
      </c>
      <c r="B18" s="3">
        <v>503388</v>
      </c>
      <c r="C18" s="3">
        <v>128468</v>
      </c>
      <c r="D18" s="3">
        <v>74</v>
      </c>
      <c r="E18" s="3">
        <v>3818</v>
      </c>
      <c r="F18" s="3">
        <v>590467</v>
      </c>
      <c r="G18" s="3">
        <v>45281</v>
      </c>
      <c r="H18" s="3">
        <v>635748</v>
      </c>
      <c r="I18" s="8">
        <v>21.8526646669286</v>
      </c>
    </row>
    <row r="19" spans="1:9" x14ac:dyDescent="0.3">
      <c r="A19" s="5">
        <v>2009</v>
      </c>
      <c r="B19" s="6">
        <v>572050</v>
      </c>
      <c r="C19" s="6">
        <v>187141</v>
      </c>
      <c r="D19" s="6">
        <v>72</v>
      </c>
      <c r="E19" s="6">
        <v>3629</v>
      </c>
      <c r="F19" s="6">
        <v>715710</v>
      </c>
      <c r="G19" s="6">
        <v>47181</v>
      </c>
      <c r="H19" s="6">
        <v>762892</v>
      </c>
      <c r="I19" s="7">
        <v>19.999119147838499</v>
      </c>
    </row>
    <row r="20" spans="1:9" x14ac:dyDescent="0.3">
      <c r="A20" s="2">
        <v>2010</v>
      </c>
      <c r="B20" s="3">
        <v>678374</v>
      </c>
      <c r="C20" s="3">
        <v>236135</v>
      </c>
      <c r="D20" s="3">
        <v>71</v>
      </c>
      <c r="E20" s="3">
        <v>3667</v>
      </c>
      <c r="F20" s="3">
        <v>872388</v>
      </c>
      <c r="G20" s="3">
        <v>45855</v>
      </c>
      <c r="H20" s="3">
        <v>918247</v>
      </c>
      <c r="I20" s="8">
        <v>20.3639571525196</v>
      </c>
    </row>
    <row r="21" spans="1:9" x14ac:dyDescent="0.3">
      <c r="A21" s="5">
        <v>2011</v>
      </c>
      <c r="B21" s="6">
        <v>799009</v>
      </c>
      <c r="C21" s="6">
        <v>267518</v>
      </c>
      <c r="D21" s="6">
        <v>82</v>
      </c>
      <c r="E21" s="6">
        <v>3667</v>
      </c>
      <c r="F21" s="6">
        <v>1026492</v>
      </c>
      <c r="G21" s="6">
        <v>43784</v>
      </c>
      <c r="H21" s="6">
        <v>1070276</v>
      </c>
      <c r="I21" s="7">
        <v>16.556438518176499</v>
      </c>
    </row>
    <row r="22" spans="1:9" x14ac:dyDescent="0.3">
      <c r="A22" s="2">
        <v>2012</v>
      </c>
      <c r="B22" s="3">
        <v>899655</v>
      </c>
      <c r="C22" s="3">
        <v>300510</v>
      </c>
      <c r="D22" s="3">
        <v>85</v>
      </c>
      <c r="E22" s="3">
        <v>3567</v>
      </c>
      <c r="F22" s="3">
        <v>1162388</v>
      </c>
      <c r="G22" s="3">
        <v>41430</v>
      </c>
      <c r="H22" s="3">
        <v>1203818</v>
      </c>
      <c r="I22" s="8">
        <v>12.477342293015999</v>
      </c>
    </row>
    <row r="23" spans="1:9" x14ac:dyDescent="0.3">
      <c r="A23" s="5">
        <v>2013</v>
      </c>
      <c r="B23" s="6">
        <v>1018781</v>
      </c>
      <c r="C23" s="6">
        <v>329308</v>
      </c>
      <c r="D23" s="6">
        <v>86</v>
      </c>
      <c r="E23" s="6">
        <v>822</v>
      </c>
      <c r="F23" s="6">
        <v>1307333</v>
      </c>
      <c r="G23" s="6">
        <v>41664</v>
      </c>
      <c r="H23" s="6">
        <v>1348996</v>
      </c>
      <c r="I23" s="7">
        <v>12.059796414408201</v>
      </c>
    </row>
    <row r="24" spans="1:9" x14ac:dyDescent="0.3">
      <c r="A24" s="2">
        <v>2014</v>
      </c>
      <c r="B24" s="3">
        <v>1194261</v>
      </c>
      <c r="C24" s="3">
        <v>316024</v>
      </c>
      <c r="D24" s="3">
        <v>94</v>
      </c>
      <c r="E24" s="3">
        <v>754</v>
      </c>
      <c r="F24" s="3">
        <v>1468886</v>
      </c>
      <c r="G24" s="3">
        <v>42247</v>
      </c>
      <c r="H24" s="3">
        <v>1511133</v>
      </c>
      <c r="I24" s="8">
        <v>12.0190867875072</v>
      </c>
    </row>
    <row r="25" spans="1:9" x14ac:dyDescent="0.3">
      <c r="A25" s="5">
        <v>2015</v>
      </c>
      <c r="B25" s="6">
        <v>1369713</v>
      </c>
      <c r="C25" s="6">
        <v>337997</v>
      </c>
      <c r="D25" s="6">
        <v>94</v>
      </c>
      <c r="E25" s="6">
        <v>685</v>
      </c>
      <c r="F25" s="6">
        <v>1668047</v>
      </c>
      <c r="G25" s="6">
        <v>40442</v>
      </c>
      <c r="H25" s="6">
        <v>1708489</v>
      </c>
      <c r="I25" s="7">
        <v>13.0601343495245</v>
      </c>
    </row>
    <row r="26" spans="1:9" x14ac:dyDescent="0.3">
      <c r="A26" s="2">
        <v>2016</v>
      </c>
      <c r="B26" s="3">
        <v>1578842</v>
      </c>
      <c r="C26" s="3">
        <v>345852</v>
      </c>
      <c r="D26" s="3">
        <v>96</v>
      </c>
      <c r="E26" s="3">
        <v>1159</v>
      </c>
      <c r="F26" s="3">
        <v>1891161</v>
      </c>
      <c r="G26" s="3">
        <v>34788</v>
      </c>
      <c r="H26" s="3">
        <v>1925949</v>
      </c>
      <c r="I26" s="8">
        <v>12.7282060346891</v>
      </c>
    </row>
    <row r="27" spans="1:9" x14ac:dyDescent="0.3">
      <c r="A27" s="5">
        <v>2017</v>
      </c>
      <c r="B27" s="6">
        <v>1797369</v>
      </c>
      <c r="C27" s="6">
        <v>385729</v>
      </c>
      <c r="D27" s="6">
        <v>94</v>
      </c>
      <c r="E27" s="6">
        <v>986</v>
      </c>
      <c r="F27" s="6">
        <v>2152592</v>
      </c>
      <c r="G27" s="6">
        <v>31586</v>
      </c>
      <c r="H27" s="6">
        <v>2184178</v>
      </c>
      <c r="I27" s="7">
        <v>13.40788359401</v>
      </c>
    </row>
    <row r="28" spans="1:9" x14ac:dyDescent="0.3">
      <c r="A28" s="2">
        <v>2018</v>
      </c>
      <c r="B28" s="3">
        <v>2046432</v>
      </c>
      <c r="C28" s="3">
        <v>395296</v>
      </c>
      <c r="D28" s="3">
        <v>108</v>
      </c>
      <c r="E28" s="3">
        <v>838</v>
      </c>
      <c r="F28" s="3">
        <v>2415496</v>
      </c>
      <c r="G28" s="3">
        <v>27178</v>
      </c>
      <c r="H28" s="3">
        <v>2442674</v>
      </c>
      <c r="I28" s="8">
        <v>11.8349328671931</v>
      </c>
    </row>
    <row r="29" spans="1:9" x14ac:dyDescent="0.3">
      <c r="A29" s="5">
        <v>2019</v>
      </c>
      <c r="B29" s="6">
        <v>2264149</v>
      </c>
      <c r="C29" s="6">
        <v>396317</v>
      </c>
      <c r="D29" s="6">
        <v>102</v>
      </c>
      <c r="E29" s="6">
        <v>996</v>
      </c>
      <c r="F29" s="6">
        <v>2636655</v>
      </c>
      <c r="G29" s="6">
        <v>24909</v>
      </c>
      <c r="H29" s="6">
        <v>2661564</v>
      </c>
      <c r="I29" s="7">
        <v>8.9610811757934208</v>
      </c>
    </row>
    <row r="30" spans="1:9" x14ac:dyDescent="0.3">
      <c r="A30" s="2">
        <v>2020</v>
      </c>
      <c r="B30" s="3">
        <v>2504578</v>
      </c>
      <c r="C30" s="3">
        <v>451787</v>
      </c>
      <c r="D30" s="3">
        <v>97</v>
      </c>
      <c r="E30" s="3">
        <v>701</v>
      </c>
      <c r="F30" s="3">
        <v>2936030</v>
      </c>
      <c r="G30" s="3">
        <v>21134</v>
      </c>
      <c r="H30" s="3">
        <v>2957163</v>
      </c>
      <c r="I30" s="8">
        <v>11.1062142409501</v>
      </c>
    </row>
    <row r="31" spans="1:9" x14ac:dyDescent="0.3">
      <c r="A31" s="5">
        <v>2021</v>
      </c>
      <c r="B31" s="6">
        <v>2769651</v>
      </c>
      <c r="C31" s="6">
        <v>507172</v>
      </c>
      <c r="D31" s="6">
        <v>105</v>
      </c>
      <c r="E31" s="6">
        <v>682</v>
      </c>
      <c r="F31" s="6">
        <v>3258567</v>
      </c>
      <c r="G31" s="6">
        <v>19043</v>
      </c>
      <c r="H31" s="6">
        <v>3277610</v>
      </c>
      <c r="I31" s="7">
        <v>10.8362981682106</v>
      </c>
    </row>
    <row r="32" spans="1:9" x14ac:dyDescent="0.3">
      <c r="A32" s="2">
        <v>2022</v>
      </c>
      <c r="B32" s="3">
        <v>2932198</v>
      </c>
      <c r="C32" s="3">
        <v>622689</v>
      </c>
      <c r="D32" s="3">
        <v>83</v>
      </c>
      <c r="E32" s="3">
        <v>566</v>
      </c>
      <c r="F32" s="3">
        <v>3539141</v>
      </c>
      <c r="G32" s="3">
        <v>16395</v>
      </c>
      <c r="H32" s="3">
        <v>3555536</v>
      </c>
      <c r="I32" s="8">
        <v>8.4795323421639601</v>
      </c>
    </row>
    <row r="33" spans="1:9" x14ac:dyDescent="0.3">
      <c r="A33" s="5">
        <v>2023</v>
      </c>
      <c r="B33" s="6">
        <v>3199417</v>
      </c>
      <c r="C33" s="6">
        <v>711903</v>
      </c>
      <c r="D33" s="6">
        <v>40</v>
      </c>
      <c r="E33" s="6">
        <v>459</v>
      </c>
      <c r="F33" s="6">
        <v>3898997</v>
      </c>
      <c r="G33" s="6">
        <v>12822</v>
      </c>
      <c r="H33" s="6">
        <v>3911818</v>
      </c>
      <c r="I33" s="7">
        <v>10.020486362674999</v>
      </c>
    </row>
    <row r="34" spans="1:9" x14ac:dyDescent="0.3">
      <c r="A34" s="2">
        <v>2024</v>
      </c>
      <c r="B34" s="3">
        <v>3473042</v>
      </c>
      <c r="C34" s="3">
        <v>807476</v>
      </c>
      <c r="D34" s="3">
        <v>89</v>
      </c>
      <c r="E34" s="3">
        <v>380</v>
      </c>
      <c r="F34" s="3">
        <v>4271037</v>
      </c>
      <c r="G34" s="3">
        <v>9950</v>
      </c>
      <c r="H34" s="3">
        <v>4280987</v>
      </c>
      <c r="I34" s="8">
        <v>9.4372744335242693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Charts</vt:lpstr>
      <vt:lpstr>Cleaned Data</vt:lpstr>
      <vt:lpstr>Analysis</vt:lpstr>
      <vt:lpstr>Insights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Shahil Singh thakur</cp:lastModifiedBy>
  <cp:revision>1</cp:revision>
  <cp:lastPrinted>2026-04-17T13:13:06Z</cp:lastPrinted>
  <dcterms:created xsi:type="dcterms:W3CDTF">2026-04-10T14:17:07Z</dcterms:created>
  <dcterms:modified xsi:type="dcterms:W3CDTF">2026-04-17T17:18:24Z</dcterms:modified>
  <dc:language>en-US</dc:language>
</cp:coreProperties>
</file>